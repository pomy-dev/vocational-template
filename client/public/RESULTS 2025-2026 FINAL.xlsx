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8205" activeTab="3"/>
  </bookViews>
  <sheets>
    <sheet name="Motor" sheetId="1" r:id="rId1"/>
    <sheet name="PBSP" sheetId="2" r:id="rId2"/>
    <sheet name="Carpentry" sheetId="9" r:id="rId3"/>
    <sheet name="Electrical" sheetId="3" r:id="rId4"/>
    <sheet name="Auto Electrical" sheetId="11" r:id="rId5"/>
    <sheet name="Building" sheetId="4" r:id="rId6"/>
    <sheet name="Welding" sheetId="5" r:id="rId7"/>
    <sheet name="Agriculture" sheetId="6" r:id="rId8"/>
    <sheet name="Sewing" sheetId="7" r:id="rId9"/>
    <sheet name="Plumbing" sheetId="8" r:id="rId10"/>
    <sheet name="Upholstery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<sst xmlns="http://schemas.openxmlformats.org/spreadsheetml/2006/main" count="592" uniqueCount="290">
  <si>
    <t>Name</t>
  </si>
  <si>
    <t>t1</t>
  </si>
  <si>
    <t>t2</t>
  </si>
  <si>
    <t>t3</t>
  </si>
  <si>
    <t>t4</t>
  </si>
  <si>
    <t>t5</t>
  </si>
  <si>
    <t>av</t>
  </si>
  <si>
    <t>p1</t>
  </si>
  <si>
    <t>p2</t>
  </si>
  <si>
    <t>av2</t>
  </si>
  <si>
    <t>CA</t>
  </si>
  <si>
    <t>Entrep</t>
  </si>
  <si>
    <t>Exam</t>
  </si>
  <si>
    <t>FM</t>
  </si>
  <si>
    <t>Grade</t>
  </si>
  <si>
    <t>Signature</t>
  </si>
  <si>
    <t>Dlamini Boniso</t>
  </si>
  <si>
    <t>Credit</t>
  </si>
  <si>
    <t>Dlamini Fisokuhle</t>
  </si>
  <si>
    <t>Pass</t>
  </si>
  <si>
    <t>Dlamini Lethukuthula</t>
  </si>
  <si>
    <t>Dlamini Lindokuhle</t>
  </si>
  <si>
    <t>incomplete</t>
  </si>
  <si>
    <t>Dlamini Sithulele</t>
  </si>
  <si>
    <t>Dlamini Thabiso</t>
  </si>
  <si>
    <t>Khumalo Bonginkhosi</t>
  </si>
  <si>
    <t>Lukhele Tikhona</t>
  </si>
  <si>
    <t>Mahlangu Lunga</t>
  </si>
  <si>
    <t>Mamba Mboniswa</t>
  </si>
  <si>
    <t>Mamba Sakhile</t>
  </si>
  <si>
    <t>Manyika Sebastian</t>
  </si>
  <si>
    <t>Matimela Khulekani</t>
  </si>
  <si>
    <t>Mavuso Siphelele Emmanuel</t>
  </si>
  <si>
    <t>Mavuso Wakhile</t>
  </si>
  <si>
    <t>Mkhwanazi Mkhulisi</t>
  </si>
  <si>
    <t>Mncube Siwakhile</t>
  </si>
  <si>
    <t>Shiba Sikolethu</t>
  </si>
  <si>
    <t>Vilakati Lindizwe Nduduzo</t>
  </si>
  <si>
    <t>MOTOR 2025-2026</t>
  </si>
  <si>
    <t>T1</t>
  </si>
  <si>
    <t>T2</t>
  </si>
  <si>
    <t>T3</t>
  </si>
  <si>
    <t>T4</t>
  </si>
  <si>
    <t>T5</t>
  </si>
  <si>
    <t>T6</t>
  </si>
  <si>
    <t>AV</t>
  </si>
  <si>
    <t>A1</t>
  </si>
  <si>
    <t>A2</t>
  </si>
  <si>
    <t>A3</t>
  </si>
  <si>
    <t>AV2</t>
  </si>
  <si>
    <t>P1</t>
  </si>
  <si>
    <t>P2</t>
  </si>
  <si>
    <t>P3</t>
  </si>
  <si>
    <t>P4</t>
  </si>
  <si>
    <t>P5</t>
  </si>
  <si>
    <t>AV3</t>
  </si>
  <si>
    <t>ENTREP</t>
  </si>
  <si>
    <t>EXAM</t>
  </si>
  <si>
    <t>Column4</t>
  </si>
  <si>
    <t>Dlakubi Ayanda</t>
  </si>
  <si>
    <t>Dube Bandile</t>
  </si>
  <si>
    <t>Ginindza Siyabonga</t>
  </si>
  <si>
    <t>Khumalo Luyanda</t>
  </si>
  <si>
    <t>Fail</t>
  </si>
  <si>
    <t>Magongo Patrick</t>
  </si>
  <si>
    <t>Makhanya Wandisile</t>
  </si>
  <si>
    <t>Matsebula Siphesihle</t>
  </si>
  <si>
    <t>Mavimbela Sihle</t>
  </si>
  <si>
    <t>Mbatha Sakhile</t>
  </si>
  <si>
    <t>Shabangu Sakhile</t>
  </si>
  <si>
    <t>Sibanyoni Nsika</t>
  </si>
  <si>
    <t>Sihlongonyane Andile</t>
  </si>
  <si>
    <t>no exam</t>
  </si>
  <si>
    <t>Incomplete</t>
  </si>
  <si>
    <t>Simelane Mduduzi</t>
  </si>
  <si>
    <t>fail</t>
  </si>
  <si>
    <t>Stenkamp Collen</t>
  </si>
  <si>
    <t>Stankamp Collin</t>
  </si>
  <si>
    <t>Panel Beating 2025/2026</t>
  </si>
  <si>
    <t>Column1</t>
  </si>
  <si>
    <t>ENTRE</t>
  </si>
  <si>
    <t>Dlamini Buyisizwe</t>
  </si>
  <si>
    <t>NO EXAM</t>
  </si>
  <si>
    <t>INCOMPLETE</t>
  </si>
  <si>
    <t>Dlamini Masiko Sandziso</t>
  </si>
  <si>
    <t>Dlamini Phiwokwakhe</t>
  </si>
  <si>
    <t>Dludlu Thabo Wandile</t>
  </si>
  <si>
    <t>Fakudze Sibonelo</t>
  </si>
  <si>
    <t>Fakudze Thandizulu Londlala</t>
  </si>
  <si>
    <t>Kunene Felihle</t>
  </si>
  <si>
    <t>Malinga Nhlanganiso</t>
  </si>
  <si>
    <t>Maphanga Melusi</t>
  </si>
  <si>
    <t>Maseko Thapelo</t>
  </si>
  <si>
    <t>Matfunjwa Khayelihle</t>
  </si>
  <si>
    <t>Maziya Siyabonga</t>
  </si>
  <si>
    <t>Mndzebele Thando</t>
  </si>
  <si>
    <t>Msibi Nchubeko</t>
  </si>
  <si>
    <t>Ngwenya Bandzile</t>
  </si>
  <si>
    <t>Nkambule Baphelele</t>
  </si>
  <si>
    <t>Nkambule Sakhile</t>
  </si>
  <si>
    <t>Shongwe Likhwalethu Machawe</t>
  </si>
  <si>
    <t>Shongwe Manqoba</t>
  </si>
  <si>
    <t>Distinction</t>
  </si>
  <si>
    <t>Sibanyoni Phila Sibongokuhle</t>
  </si>
  <si>
    <t>Sithole Lindokuhle</t>
  </si>
  <si>
    <t>Thwala Siboniso</t>
  </si>
  <si>
    <t>credit</t>
  </si>
  <si>
    <t>CARPENTRY 2025-2026</t>
  </si>
  <si>
    <t>NAME</t>
  </si>
  <si>
    <t>PR1</t>
  </si>
  <si>
    <t>PR2</t>
  </si>
  <si>
    <t>Cindzi Phinda</t>
  </si>
  <si>
    <t>Dlamini Bathobile</t>
  </si>
  <si>
    <t>Dlamini Ayanda Gift</t>
  </si>
  <si>
    <t>Dlamini Mvumelwano</t>
  </si>
  <si>
    <t>Dlamini Sizolwethu</t>
  </si>
  <si>
    <t>Gamedze Njabuliso</t>
  </si>
  <si>
    <t>Ginindza Siphesihle</t>
  </si>
  <si>
    <t>Groening Nothando</t>
  </si>
  <si>
    <t>Hadzebe Yandiswa</t>
  </si>
  <si>
    <t>Lukhele Mdumiseni</t>
  </si>
  <si>
    <t>Malinga Thandeka</t>
  </si>
  <si>
    <t>Maseko Mawande</t>
  </si>
  <si>
    <t>Myaso Ncamiso</t>
  </si>
  <si>
    <t>Maziya Bandile</t>
  </si>
  <si>
    <t>Ndzabandzaba Mangaliso</t>
  </si>
  <si>
    <t>Nkambule Sibusiso</t>
  </si>
  <si>
    <t>Nkambule Siyabonga</t>
  </si>
  <si>
    <t>Shabangu Lethokuhle</t>
  </si>
  <si>
    <t>Shongwe Silethokuhle</t>
  </si>
  <si>
    <t>Sigudla Brian</t>
  </si>
  <si>
    <t>Tfwala Bongiwe</t>
  </si>
  <si>
    <t>Gwebu Takhona</t>
  </si>
  <si>
    <t>Masina Velaphi</t>
  </si>
  <si>
    <t>Electrical 2025-2026</t>
  </si>
  <si>
    <t>TRAINEE NAME</t>
  </si>
  <si>
    <t>Av</t>
  </si>
  <si>
    <t>Av2</t>
  </si>
  <si>
    <t>Av3</t>
  </si>
  <si>
    <t>GRADE</t>
  </si>
  <si>
    <t>Dlamini Ntokozo</t>
  </si>
  <si>
    <t>Dlamini Melusi S</t>
  </si>
  <si>
    <t>Dlamini Sisonkhe</t>
  </si>
  <si>
    <t>Dlamini Thembelihle</t>
  </si>
  <si>
    <t>Jele Mpendulo</t>
  </si>
  <si>
    <t>Khumalo Lindisimo</t>
  </si>
  <si>
    <t>Absent</t>
  </si>
  <si>
    <t>Magongo Sanele</t>
  </si>
  <si>
    <t>Mamba Mpendulo</t>
  </si>
  <si>
    <t>Manyatsi Okuhle</t>
  </si>
  <si>
    <t>Maziya Melusi</t>
  </si>
  <si>
    <t>Mndzebele Mavela</t>
  </si>
  <si>
    <t>Myeni Mpendulo</t>
  </si>
  <si>
    <t xml:space="preserve">Ndlovu Mathokoza </t>
  </si>
  <si>
    <t>Ndwandwe Samkeliso</t>
  </si>
  <si>
    <t>Nkentjane Mpendulo</t>
  </si>
  <si>
    <t>Simelane Muziwethu</t>
  </si>
  <si>
    <t>Simelane Sibongakuphila</t>
  </si>
  <si>
    <t>Tsabedze Sebenele</t>
  </si>
  <si>
    <t xml:space="preserve">Vilakati Luyanda </t>
  </si>
  <si>
    <t>Auto Electrical 2025-2026</t>
  </si>
  <si>
    <t xml:space="preserve">TRAINEE NAME </t>
  </si>
  <si>
    <t>TEST 1</t>
  </si>
  <si>
    <t>TEST 2</t>
  </si>
  <si>
    <t>TEST 3</t>
  </si>
  <si>
    <t>DUBE BENELE</t>
  </si>
  <si>
    <t>GULE PHIWOKWAKHE</t>
  </si>
  <si>
    <t xml:space="preserve">LUKHELE SIPHELELE </t>
  </si>
  <si>
    <t xml:space="preserve">MAMBA CELUMUSA </t>
  </si>
  <si>
    <t>MASEKO SELULEKO</t>
  </si>
  <si>
    <t>MANDZEBELE QINISO</t>
  </si>
  <si>
    <t>MNDZEBELE SIKHUMBUZO</t>
  </si>
  <si>
    <t>MOTSA MPENDULO</t>
  </si>
  <si>
    <t>NXUMALO MFANELO</t>
  </si>
  <si>
    <t>SITHOLE ZWELI</t>
  </si>
  <si>
    <t xml:space="preserve">TFWALA WESLEY </t>
  </si>
  <si>
    <t>VILAKATI QINISO</t>
  </si>
  <si>
    <t>Building</t>
  </si>
  <si>
    <t>Test 1</t>
  </si>
  <si>
    <t>Test 2</t>
  </si>
  <si>
    <t>Test 3</t>
  </si>
  <si>
    <t>Test 4</t>
  </si>
  <si>
    <t>Average</t>
  </si>
  <si>
    <t>pract 1</t>
  </si>
  <si>
    <t>pract 2</t>
  </si>
  <si>
    <t>pract 3</t>
  </si>
  <si>
    <t>pract 4</t>
  </si>
  <si>
    <t>Average2</t>
  </si>
  <si>
    <t>Bhila Siyanda</t>
  </si>
  <si>
    <t>Dlamini Makabongwe</t>
  </si>
  <si>
    <t>Dlamini Majaha</t>
  </si>
  <si>
    <t>Dlamini Ncamiso</t>
  </si>
  <si>
    <t>Gulwako Bindzile</t>
  </si>
  <si>
    <t>Hlawe Bongumusa</t>
  </si>
  <si>
    <t>Lukhele Sizolwethu</t>
  </si>
  <si>
    <t>Mabuza Ntando</t>
  </si>
  <si>
    <t>Magagula Pretty</t>
  </si>
  <si>
    <t>Mkhonta Bodvwa</t>
  </si>
  <si>
    <t>Mlambo Vuyo</t>
  </si>
  <si>
    <t>Mnisi Bongi</t>
  </si>
  <si>
    <t>Ndlangamandla Phiwokwakhe</t>
  </si>
  <si>
    <t>Nkambule Bonkhe</t>
  </si>
  <si>
    <t>Nkambule Colane</t>
  </si>
  <si>
    <t>Ntombela Siyabonga</t>
  </si>
  <si>
    <t>Shongwe Champion</t>
  </si>
  <si>
    <t>Zwane Asande</t>
  </si>
  <si>
    <t>Welding</t>
  </si>
  <si>
    <t>TAV</t>
  </si>
  <si>
    <t>AV ASS</t>
  </si>
  <si>
    <t>AVPR</t>
  </si>
  <si>
    <t>Dlamini Andiswa</t>
  </si>
  <si>
    <t>Dlamini Khethukuthula</t>
  </si>
  <si>
    <t>Fakudze Mukelo</t>
  </si>
  <si>
    <t>Madzinane Nomphilo</t>
  </si>
  <si>
    <t>Mamba Thembelihle .P</t>
  </si>
  <si>
    <t xml:space="preserve">Mbetse Bongiwe </t>
  </si>
  <si>
    <t>Motsa Lindokuhle .S</t>
  </si>
  <si>
    <t>Mthembu Dennis .F</t>
  </si>
  <si>
    <t>Sibandze Thubelihle .S</t>
  </si>
  <si>
    <t>Tsabedze Thandolwethu .M</t>
  </si>
  <si>
    <t>Agriculture 2025-2026</t>
  </si>
  <si>
    <t>SURNAME</t>
  </si>
  <si>
    <t>P6</t>
  </si>
  <si>
    <t>FAKUDZE</t>
  </si>
  <si>
    <t>SIPHESIHLE</t>
  </si>
  <si>
    <t>LANGWENYA</t>
  </si>
  <si>
    <t>MARVELOUS</t>
  </si>
  <si>
    <t>NKAMBULE</t>
  </si>
  <si>
    <t>SIMPHIWE</t>
  </si>
  <si>
    <t>NZIMA</t>
  </si>
  <si>
    <t>THEMBELIHLE</t>
  </si>
  <si>
    <t>SIGUDLA</t>
  </si>
  <si>
    <t>TITILE N.</t>
  </si>
  <si>
    <t xml:space="preserve">SIMELANE </t>
  </si>
  <si>
    <t>BUSISWA</t>
  </si>
  <si>
    <t>Dropped out</t>
  </si>
  <si>
    <t xml:space="preserve">VILAKATI </t>
  </si>
  <si>
    <t>ANDISWA</t>
  </si>
  <si>
    <t xml:space="preserve">Sewing </t>
  </si>
  <si>
    <t>PR3</t>
  </si>
  <si>
    <t>PR4</t>
  </si>
  <si>
    <t>PR5</t>
  </si>
  <si>
    <t>Bhila Noncedo</t>
  </si>
  <si>
    <t>Dlamini Bafana</t>
  </si>
  <si>
    <t>Dlamini Khwali</t>
  </si>
  <si>
    <t>Dlamini linda</t>
  </si>
  <si>
    <t>Dlamini Melizwe</t>
  </si>
  <si>
    <t>Dlamini Mfanfuthi</t>
  </si>
  <si>
    <t>Dlamini Mlandvo</t>
  </si>
  <si>
    <t>Dlamini Samkelo</t>
  </si>
  <si>
    <t>Gwebu Mhlonishwa</t>
  </si>
  <si>
    <t>Hleta Nocolo</t>
  </si>
  <si>
    <t>Kunene Baphelele</t>
  </si>
  <si>
    <t>Magongo Mhleli</t>
  </si>
  <si>
    <t>Makhanya Phiwayinkhosi</t>
  </si>
  <si>
    <t>Maseko Lungelo</t>
  </si>
  <si>
    <t>Maseko Neliswa</t>
  </si>
  <si>
    <t>Maseko Nomvuyo</t>
  </si>
  <si>
    <t>Maseko Siohesihle</t>
  </si>
  <si>
    <t>Masilela Lindani</t>
  </si>
  <si>
    <t>Mbuyisa Sphesihle</t>
  </si>
  <si>
    <t>Mkhatjwa Lungelo</t>
  </si>
  <si>
    <t>Mlondi Jele</t>
  </si>
  <si>
    <t>Motsa Siphosethu</t>
  </si>
  <si>
    <t>Nkosinothando Ndzimandze</t>
  </si>
  <si>
    <t>Seyama Sanele</t>
  </si>
  <si>
    <t>Shabangu Nokwanda</t>
  </si>
  <si>
    <t>Zikalala Siyabonga</t>
  </si>
  <si>
    <t>Zubuko Wandile</t>
  </si>
  <si>
    <t>PLUMBING</t>
  </si>
  <si>
    <t>DLAMINI KHULEKANI</t>
  </si>
  <si>
    <t>DIAMNI LWETHU</t>
  </si>
  <si>
    <t>DLAMINI NKHOSINATHI</t>
  </si>
  <si>
    <t>DLAMINI PHELELE</t>
  </si>
  <si>
    <t>DLAMINI SIBUSISIWE</t>
  </si>
  <si>
    <t>DLAMINI TEMKHULEKO</t>
  </si>
  <si>
    <t>DLAMINI ZWELETHU</t>
  </si>
  <si>
    <t>LUKHELE MLUNGISI</t>
  </si>
  <si>
    <t>MAMBA BHEKIWE</t>
  </si>
  <si>
    <t>MASEKO KHETHOKUHLE</t>
  </si>
  <si>
    <t>MNDZEBELEE JAMES</t>
  </si>
  <si>
    <t>MNDZEBELE XOLANI</t>
  </si>
  <si>
    <t>MOTSA XOLILE</t>
  </si>
  <si>
    <t>NGWENYA NTSIKA</t>
  </si>
  <si>
    <t>NXUMALO NONTSIKELELO</t>
  </si>
  <si>
    <t>NXUMALO SIZWE</t>
  </si>
  <si>
    <t xml:space="preserve">SIBANDZE SINENKHOSI </t>
  </si>
  <si>
    <t>SIFUNDZA NONDUMISO</t>
  </si>
  <si>
    <t>TSABEDZE NOLWAZI</t>
  </si>
  <si>
    <t>Upholstery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</si>
</sst>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0" fontId="5" fillId="0" borderId="0" xfId="0" applyFont="1"/>
    <xf numFmtId="1" fontId="5" fillId="0" borderId="0" xfId="0" applyNumberFormat="1" applyFont="1"/>
    <xf numFmtId="1" fontId="6" fillId="0" borderId="0" xfId="0" applyNumberFormat="1" applyFont="1"/>
    <xf numFmtId="0" fontId="4" fillId="0" borderId="0" xfId="0" applyFont="1"/>
    <xf numFmtId="1" fontId="7" fillId="0" borderId="0" xfId="0" applyNumberFormat="1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7">
    <dxf>
      <font>
        <name val="Calibri"/>
        <scheme val="none"/>
        <b val="0"/>
        <i val="0"/>
        <strike val="0"/>
        <u val="none"/>
        <sz val="11"/>
        <color rgb="FFFF0000"/>
      </font>
      <numFmt numFmtId="1" formatCode="0"/>
    </dxf>
    <dxf>
      <font>
        <name val="Calibri"/>
        <scheme val="none"/>
        <b val="0"/>
        <i val="0"/>
        <strike val="0"/>
        <u val="none"/>
        <sz val="11"/>
        <color rgb="FFFF0000"/>
      </font>
      <numFmt numFmtId="1" formatCode="0"/>
    </dxf>
    <dxf>
      <numFmt numFmtId="1" formatCode="0"/>
    </dxf>
    <dxf>
      <font>
        <name val="Calibri"/>
        <scheme val="none"/>
        <b val="1"/>
        <i val="0"/>
        <strike val="0"/>
        <u val="none"/>
        <sz val="11"/>
        <color rgb="FFFF0000"/>
      </font>
      <numFmt numFmtId="1" formatCode="0"/>
    </dxf>
    <dxf>
      <font>
        <name val="Calibri"/>
        <scheme val="none"/>
        <b val="0"/>
        <i val="0"/>
        <strike val="0"/>
        <u val="none"/>
        <sz val="11"/>
        <color rgb="FFFF0000"/>
      </font>
      <numFmt numFmtId="1" formatCode="0"/>
    </dxf>
    <dxf>
      <numFmt numFmtId="1" formatCode="0"/>
    </dxf>
    <dxf>
      <font>
        <name val="Calibri"/>
        <scheme val="none"/>
        <b val="0"/>
        <i val="0"/>
        <strike val="0"/>
        <u val="none"/>
        <sz val="11"/>
        <color rgb="FFFF0000"/>
      </font>
      <numFmt numFmtId="1" formatCode="0"/>
    </dxf>
    <dxf>
      <font>
        <name val="Calibri"/>
        <scheme val="none"/>
        <b val="0"/>
        <i val="0"/>
        <strike val="0"/>
        <u val="none"/>
        <sz val="11"/>
        <color rgb="FFFF0000"/>
      </font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  <numFmt numFmtId="1" formatCode="0"/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  <numFmt numFmtId="1" formatCode="0"/>
    </dxf>
    <dxf>
      <font>
        <name val="Calibri"/>
        <scheme val="none"/>
        <b val="1"/>
        <i val="0"/>
        <strike val="0"/>
        <u val="none"/>
        <sz val="11"/>
        <color theme="1"/>
      </font>
      <numFmt numFmtId="1" formatCode="0"/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theme="1"/>
      </font>
    </dxf>
    <dxf>
      <font>
        <name val="Calibri"/>
        <scheme val="none"/>
        <b val="1"/>
        <i val="0"/>
        <strike val="0"/>
        <u val="none"/>
        <sz val="11"/>
        <color rgb="FFFF0000"/>
      </font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numFmt numFmtId="1" formatCode="0"/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P21" totalsRowShown="0">
  <autoFilter xmlns:etc="http://www.wps.cn/officeDocument/2017/etCustomData" ref="A1:P21" etc:filterBottomFollowUsedRange="0"/>
  <tableColumns count="16">
    <tableColumn id="1" name="Name"/>
    <tableColumn id="2" name="t1"/>
    <tableColumn id="3" name="t2"/>
    <tableColumn id="4" name="t3"/>
    <tableColumn id="5" name="t4"/>
    <tableColumn id="6" name="t5"/>
    <tableColumn id="7" name="av" dataDxfId="0"/>
    <tableColumn id="8" name="p1"/>
    <tableColumn id="9" name="p2"/>
    <tableColumn id="10" name="av2" dataDxfId="1"/>
    <tableColumn id="11" name="CA" dataDxfId="2"/>
    <tableColumn id="12" name="Entrep"/>
    <tableColumn id="13" name="Exam"/>
    <tableColumn id="14" name="FM" dataDxfId="3"/>
    <tableColumn id="15" name="Grade"/>
    <tableColumn id="16" name="Signature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W19" totalsRowShown="0">
  <autoFilter xmlns:etc="http://www.wps.cn/officeDocument/2017/etCustomData" ref="A1:W19" etc:filterBottomFollowUsedRange="0"/>
  <tableColumns count="23">
    <tableColumn id="1" name="Name"/>
    <tableColumn id="2" name="T1"/>
    <tableColumn id="3" name="T2"/>
    <tableColumn id="4" name="T3"/>
    <tableColumn id="5" name="T4"/>
    <tableColumn id="6" name="T5"/>
    <tableColumn id="7" name="T6"/>
    <tableColumn id="8" name="AV" dataDxfId="4"/>
    <tableColumn id="9" name="A1"/>
    <tableColumn id="10" name="A2"/>
    <tableColumn id="11" name="A3"/>
    <tableColumn id="12" name="AV2" dataDxfId="5"/>
    <tableColumn id="13" name="P1"/>
    <tableColumn id="14" name="P2"/>
    <tableColumn id="15" name="P3"/>
    <tableColumn id="16" name="P4"/>
    <tableColumn id="17" name="P5"/>
    <tableColumn id="18" name="AV3" dataDxfId="6"/>
    <tableColumn id="19" name="CA" dataDxfId="7"/>
    <tableColumn id="20" name="ENTREP" dataDxfId="8"/>
    <tableColumn id="21" name="EXAM"/>
    <tableColumn id="22" name="FM" dataDxfId="9"/>
    <tableColumn id="23" name="Column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S27" totalsRowShown="0">
  <autoFilter xmlns:etc="http://www.wps.cn/officeDocument/2017/etCustomData" ref="A1:S27" etc:filterBottomFollowUsedRange="0"/>
  <tableColumns count="19">
    <tableColumn id="1" name="Column1"/>
    <tableColumn id="2" name="T1"/>
    <tableColumn id="3" name="T2"/>
    <tableColumn id="4" name="T3"/>
    <tableColumn id="5" name="T4"/>
    <tableColumn id="6" name="AV"/>
    <tableColumn id="7" name="A1"/>
    <tableColumn id="8" name="A2"/>
    <tableColumn id="9" name="AV2"/>
    <tableColumn id="10" name="P1"/>
    <tableColumn id="11" name="P2"/>
    <tableColumn id="12" name="P3"/>
    <tableColumn id="13" name="P4"/>
    <tableColumn id="14" name="AV3"/>
    <tableColumn id="15" name="CA"/>
    <tableColumn id="16" name="EXAM"/>
    <tableColumn id="17" name="ENTRE"/>
    <tableColumn id="18" name="FM"/>
    <tableColumn id="19" name="Column4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P24" totalsRowShown="0">
  <autoFilter xmlns:etc="http://www.wps.cn/officeDocument/2017/etCustomData" ref="A1:P24" etc:filterBottomFollowUsedRange="0"/>
  <tableColumns count="16">
    <tableColumn id="1" name="NAME"/>
    <tableColumn id="2" name="T1"/>
    <tableColumn id="3" name="T2"/>
    <tableColumn id="4" name="T3"/>
    <tableColumn id="5" name="AV" dataDxfId="10">
      <calculatedColumnFormula>((B2+C2+D2)/3)</calculatedColumnFormula>
    </tableColumn>
    <tableColumn id="6" name="A1"/>
    <tableColumn id="7" name="AV2">
      <calculatedColumnFormula>F2</calculatedColumnFormula>
    </tableColumn>
    <tableColumn id="8" name="PR1"/>
    <tableColumn id="9" name="PR2"/>
    <tableColumn id="10" name="P3"/>
    <tableColumn id="11" name="AV3" dataDxfId="11">
      <calculatedColumnFormula>(H2+I2+J2)/3</calculatedColumnFormula>
    </tableColumn>
    <tableColumn id="12" name="CA" dataDxfId="12">
      <calculatedColumnFormula>((E2*0.2)+(G2*0.1)+(K2*0.7))</calculatedColumnFormula>
    </tableColumn>
    <tableColumn id="13" name="Entrep" dataDxfId="13"/>
    <tableColumn id="14" name="EXAM"/>
    <tableColumn id="15" name="FM" dataDxfId="14">
      <calculatedColumnFormula>((L2*0.6)+(M2*0.2)+(N2*0.2))</calculatedColumnFormula>
    </tableColumn>
    <tableColumn id="16" name="Grade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1:O20" totalsRowShown="0">
  <autoFilter xmlns:etc="http://www.wps.cn/officeDocument/2017/etCustomData" ref="A1:O20" etc:filterBottomFollowUsedRange="0"/>
  <tableColumns count="15">
    <tableColumn id="1" name="TRAINEE NAME"/>
    <tableColumn id="2" name="T1"/>
    <tableColumn id="3" name="T2"/>
    <tableColumn id="4" name="Av">
      <calculatedColumnFormula>(Table8[[#This Row],[T2]]+Table8[[#This Row],[T1]])/2</calculatedColumnFormula>
    </tableColumn>
    <tableColumn id="5" name="A1"/>
    <tableColumn id="6" name="A2"/>
    <tableColumn id="7" name="Av2"/>
    <tableColumn id="8" name="PR1"/>
    <tableColumn id="9" name="PR2"/>
    <tableColumn id="10" name="Av3"/>
    <tableColumn id="11" name="CA" dataDxfId="15">
      <calculatedColumnFormula>((Table8[[#This Row],[Av3]]*0.7)+(Table8[[#This Row],[Av2]]*0.1)+(Table8[[#This Row],[Av]]*0.2))</calculatedColumnFormula>
    </tableColumn>
    <tableColumn id="12" name="EXAM"/>
    <tableColumn id="13" name="ENTREP" dataDxfId="16"/>
    <tableColumn id="14" name="FM" dataDxfId="17">
      <calculatedColumnFormula>((Table8[[#This Row],[CA]]*0.6)+(Table8[[#This Row],[EXAM]]*0.2)+(Table8[[#This Row],[ENTREP]]*0.2))-5</calculatedColumnFormula>
    </tableColumn>
    <tableColumn id="15" name="GRADE" dataDxfId="18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A1:Q15" totalsRowShown="0">
  <autoFilter xmlns:etc="http://www.wps.cn/officeDocument/2017/etCustomData" ref="A1:Q15" etc:filterBottomFollowUsedRange="0"/>
  <tableColumns count="17">
    <tableColumn id="1" name="TRAINEE NAME " dataDxfId="19"/>
    <tableColumn id="2" name="TEST 1" dataDxfId="20"/>
    <tableColumn id="3" name="TEST 2" dataDxfId="21"/>
    <tableColumn id="4" name="TEST 3" dataDxfId="22"/>
    <tableColumn id="5" name="AV" dataDxfId="23"/>
    <tableColumn id="6" name="A1" dataDxfId="24"/>
    <tableColumn id="7" name="AV2" dataDxfId="25"/>
    <tableColumn id="8" name="P1" dataDxfId="26"/>
    <tableColumn id="9" name="P2" dataDxfId="27"/>
    <tableColumn id="10" name="P3" dataDxfId="28"/>
    <tableColumn id="11" name="P4" dataDxfId="29"/>
    <tableColumn id="12" name="AV3" dataDxfId="30"/>
    <tableColumn id="13" name="CA" dataDxfId="31"/>
    <tableColumn id="14" name="ENTREP" dataDxfId="32"/>
    <tableColumn id="15" name="EXAM" dataDxfId="33"/>
    <tableColumn id="16" name="FM" dataDxfId="34"/>
    <tableColumn id="17" name="Column1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id="6" name="Table6" displayName="Table6" ref="A1:P21" totalsRowShown="0">
  <autoFilter xmlns:etc="http://www.wps.cn/officeDocument/2017/etCustomData" ref="A1:P21" etc:filterBottomFollowUsedRange="0"/>
  <tableColumns count="16">
    <tableColumn id="1" name="Name"/>
    <tableColumn id="2" name="Test 1" dataDxfId="35"/>
    <tableColumn id="3" name="Test 2" dataDxfId="36"/>
    <tableColumn id="4" name="Test 3" dataDxfId="37"/>
    <tableColumn id="5" name="Test 4" dataDxfId="38"/>
    <tableColumn id="6" name="Average" dataDxfId="39"/>
    <tableColumn id="7" name="pract 1" dataDxfId="40"/>
    <tableColumn id="8" name="pract 2" dataDxfId="41"/>
    <tableColumn id="9" name="pract 3" dataDxfId="42"/>
    <tableColumn id="10" name="pract 4" dataDxfId="43"/>
    <tableColumn id="11" name="Average2" dataDxfId="44"/>
    <tableColumn id="12" name="CA" dataDxfId="45"/>
    <tableColumn id="13" name="Exam" dataDxfId="46"/>
    <tableColumn id="14" name="Entrep" dataDxfId="47"/>
    <tableColumn id="15" name="FM" dataDxfId="48"/>
    <tableColumn id="16" name="Grade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A1:I12" totalsRowShown="0">
  <autoFilter xmlns:etc="http://www.wps.cn/officeDocument/2017/etCustomData" ref="A1:I12" etc:filterBottomFollowUsedRange="0"/>
  <tableColumns count="9">
    <tableColumn id="1" name="Name"/>
    <tableColumn id="2" name="TAV"/>
    <tableColumn id="3" name="AV ASS"/>
    <tableColumn id="4" name="AVPR"/>
    <tableColumn id="5" name="CA" dataDxfId="49"/>
    <tableColumn id="6" name="ENTREP" dataDxfId="50"/>
    <tableColumn id="7" name="Exam" dataDxfId="51"/>
    <tableColumn id="8" name="FM" dataDxfId="52"/>
    <tableColumn id="9" name="Grade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id="4" name="Table4" displayName="Table4" ref="A1:V8" totalsRowShown="0">
  <autoFilter xmlns:etc="http://www.wps.cn/officeDocument/2017/etCustomData" ref="A1:V8" etc:filterBottomFollowUsedRange="0"/>
  <tableColumns count="22">
    <tableColumn id="1" name="SURNAME"/>
    <tableColumn id="2" name="NAME"/>
    <tableColumn id="3" name="T1"/>
    <tableColumn id="4" name="T2"/>
    <tableColumn id="5" name="T3"/>
    <tableColumn id="6" name="T4"/>
    <tableColumn id="7" name="AV" dataDxfId="53">
      <calculatedColumnFormula>(C2+D2+E2+F2)/4</calculatedColumnFormula>
    </tableColumn>
    <tableColumn id="8" name="A1"/>
    <tableColumn id="9" name="A2"/>
    <tableColumn id="10" name="AV2" dataDxfId="54">
      <calculatedColumnFormula>((H2+I2)/2)</calculatedColumnFormula>
    </tableColumn>
    <tableColumn id="11" name="P1"/>
    <tableColumn id="12" name="P2"/>
    <tableColumn id="13" name="P3"/>
    <tableColumn id="14" name="P4"/>
    <tableColumn id="15" name="P5"/>
    <tableColumn id="16" name="P6"/>
    <tableColumn id="17" name="AV3" dataDxfId="55">
      <calculatedColumnFormula>(K2+L2+M2+N2+O2+P2)/6</calculatedColumnFormula>
    </tableColumn>
    <tableColumn id="18" name="CA" dataDxfId="56">
      <calculatedColumnFormula>((G2*0.2)+(J2*0.1)+(Q2*0.7))</calculatedColumnFormula>
    </tableColumn>
    <tableColumn id="19" name="ENTREP" dataDxfId="57">
      <calculatedColumnFormula>(P2+Q2+R2)/3</calculatedColumnFormula>
    </tableColumn>
    <tableColumn id="20" name="EXAM"/>
    <tableColumn id="21" name="FM" dataDxfId="58">
      <calculatedColumnFormula>((R2*0.6)+(S2*0.2)+(T2*0.2))</calculatedColumnFormula>
    </tableColumn>
    <tableColumn id="22" name="GRADE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id="7" name="Table7" displayName="Table7" ref="A1:S28" totalsRowShown="0">
  <autoFilter xmlns:etc="http://www.wps.cn/officeDocument/2017/etCustomData" ref="A1:S28" etc:filterBottomFollowUsedRange="0"/>
  <tableColumns count="19">
    <tableColumn id="1" name="Name"/>
    <tableColumn id="2" name="T1"/>
    <tableColumn id="3" name="T2"/>
    <tableColumn id="4" name="T3"/>
    <tableColumn id="5" name="AV" dataDxfId="59">
      <calculatedColumnFormula>(B2+C2+D2)/3</calculatedColumnFormula>
    </tableColumn>
    <tableColumn id="6" name="A1"/>
    <tableColumn id="7" name="A2"/>
    <tableColumn id="8" name="AV2" dataDxfId="60">
      <calculatedColumnFormula>(F2+G2)/2</calculatedColumnFormula>
    </tableColumn>
    <tableColumn id="9" name="PR1"/>
    <tableColumn id="10" name="PR2"/>
    <tableColumn id="11" name="PR3"/>
    <tableColumn id="12" name="PR4"/>
    <tableColumn id="13" name="PR5"/>
    <tableColumn id="14" name="AV3">
      <calculatedColumnFormula>(I2+J2+K2+L2+M2)/5</calculatedColumnFormula>
    </tableColumn>
    <tableColumn id="15" name="CA" dataDxfId="61">
      <calculatedColumnFormula>((E2*0.2)+(H2*0.1)+(N2*0.7))</calculatedColumnFormula>
    </tableColumn>
    <tableColumn id="16" name="EXAM"/>
    <tableColumn id="17" name="Entrep" dataDxfId="62"/>
    <tableColumn id="18" name="FM" dataDxfId="63">
      <calculatedColumnFormula>((O2*0.6)+(P2*0.2)+(Q2*0))</calculatedColumnFormula>
    </tableColumn>
    <tableColumn id="19" name="Grade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P20" totalsRowShown="0">
  <autoFilter xmlns:etc="http://www.wps.cn/officeDocument/2017/etCustomData" ref="A1:P20" etc:filterBottomFollowUsedRange="0"/>
  <tableColumns count="16">
    <tableColumn id="1" name="Name"/>
    <tableColumn id="2" name="t1"/>
    <tableColumn id="3" name="AV">
      <calculatedColumnFormula>B2</calculatedColumnFormula>
    </tableColumn>
    <tableColumn id="4" name="A1"/>
    <tableColumn id="5" name="AV2">
      <calculatedColumnFormula>D2</calculatedColumnFormula>
    </tableColumn>
    <tableColumn id="6" name="PR1"/>
    <tableColumn id="7" name="PR2"/>
    <tableColumn id="8" name="PR3"/>
    <tableColumn id="9" name="PR4"/>
    <tableColumn id="10" name="PR5"/>
    <tableColumn id="11" name="AV3" dataDxfId="64">
      <calculatedColumnFormula>((F2+G2+H2+I2+J2)/5)</calculatedColumnFormula>
    </tableColumn>
    <tableColumn id="12" name="CA" dataDxfId="65">
      <calculatedColumnFormula>(C2*0.2)+(E2*0.1)+(K2*0.7)</calculatedColumnFormula>
    </tableColumn>
    <tableColumn id="13" name="EXAM"/>
    <tableColumn id="14" name="ENTRE"/>
    <tableColumn id="15" name="FM" dataDxfId="66">
      <calculatedColumnFormula>((L2*0.6)+(M2*0.2)+(N2*0.2))</calculatedColumnFormula>
    </tableColumn>
    <tableColumn id="16" name="Grad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3"/>
  <sheetViews>
    <sheetView workbookViewId="0">
      <selection activeCell="A6" sqref="A6"/>
    </sheetView>
  </sheetViews>
  <sheetFormatPr defaultColWidth="9" defaultRowHeight="15"/>
  <cols>
    <col min="1" max="1" width="27.4380952380952" customWidth="1"/>
    <col min="2" max="2" width="5.1047619047619" customWidth="1"/>
    <col min="3" max="3" width="5" customWidth="1"/>
    <col min="4" max="4" width="4.43809523809524" customWidth="1"/>
    <col min="5" max="5" width="4.88571428571429" customWidth="1"/>
    <col min="6" max="6" width="5" customWidth="1"/>
    <col min="7" max="8" width="5.21904761904762" customWidth="1"/>
    <col min="9" max="9" width="4.66666666666667" customWidth="1"/>
    <col min="10" max="10" width="4.88571428571429" customWidth="1"/>
    <col min="11" max="11" width="4.78095238095238" customWidth="1"/>
    <col min="12" max="12" width="5" customWidth="1"/>
    <col min="13" max="13" width="5.78095238095238" customWidth="1"/>
    <col min="14" max="14" width="5.43809523809524" customWidth="1"/>
    <col min="16" max="16" width="10.885714285714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5" t="s">
        <v>6</v>
      </c>
      <c r="H1" t="s">
        <v>7</v>
      </c>
      <c r="I1" t="s">
        <v>8</v>
      </c>
      <c r="J1" s="15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53</v>
      </c>
      <c r="C2">
        <v>59</v>
      </c>
      <c r="D2">
        <v>68</v>
      </c>
      <c r="E2">
        <v>65</v>
      </c>
      <c r="F2">
        <v>71</v>
      </c>
      <c r="G2" s="14">
        <f>((B2+C2+D2+E2+F2)/5)</f>
        <v>63.2</v>
      </c>
      <c r="H2">
        <v>71</v>
      </c>
      <c r="I2">
        <v>73</v>
      </c>
      <c r="J2" s="14">
        <f>((H2+I2)/2)</f>
        <v>72</v>
      </c>
      <c r="K2" s="1">
        <f>((G2*0.3)+(J2*0.7))</f>
        <v>69.36</v>
      </c>
      <c r="L2" s="1">
        <v>35.5</v>
      </c>
      <c r="M2">
        <v>59</v>
      </c>
      <c r="N2" s="9">
        <f>((K2*0.6)+(L2*0.2)+(M2*0.2))</f>
        <v>60.516</v>
      </c>
      <c r="O2" t="s">
        <v>17</v>
      </c>
    </row>
    <row r="3" spans="1:16">
      <c r="A3" t="s">
        <v>18</v>
      </c>
      <c r="B3">
        <v>56</v>
      </c>
      <c r="C3">
        <v>62</v>
      </c>
      <c r="D3">
        <v>60</v>
      </c>
      <c r="E3">
        <v>67</v>
      </c>
      <c r="F3">
        <v>55</v>
      </c>
      <c r="G3" s="14">
        <f t="shared" ref="G3:G20" si="0">((B3+C3+D3+E3+F3)/5)</f>
        <v>60</v>
      </c>
      <c r="H3">
        <v>81</v>
      </c>
      <c r="I3">
        <v>55</v>
      </c>
      <c r="J3" s="14">
        <f t="shared" ref="J3:J20" si="1">((H3+I3)/2)</f>
        <v>68</v>
      </c>
      <c r="K3" s="1">
        <f t="shared" ref="K3:K20" si="2">((G3*0.3)+(J3*0.7))</f>
        <v>65.6</v>
      </c>
      <c r="L3" s="1">
        <v>44</v>
      </c>
      <c r="M3">
        <v>51</v>
      </c>
      <c r="N3" s="9">
        <f t="shared" ref="N3:N20" si="3">((K3*0.6)+(L3*0.2)+(M3*0.2))</f>
        <v>58.36</v>
      </c>
      <c r="O3" t="s">
        <v>19</v>
      </c>
    </row>
    <row r="4" spans="1:16">
      <c r="A4" t="s">
        <v>20</v>
      </c>
      <c r="B4">
        <v>80</v>
      </c>
      <c r="C4">
        <v>70</v>
      </c>
      <c r="D4">
        <v>62</v>
      </c>
      <c r="E4">
        <v>83</v>
      </c>
      <c r="F4">
        <v>74</v>
      </c>
      <c r="G4" s="14">
        <f t="shared" si="0"/>
        <v>73.8</v>
      </c>
      <c r="H4">
        <v>78</v>
      </c>
      <c r="I4">
        <v>79</v>
      </c>
      <c r="J4" s="14">
        <f t="shared" si="1"/>
        <v>78.5</v>
      </c>
      <c r="K4" s="1">
        <f t="shared" si="2"/>
        <v>77.09</v>
      </c>
      <c r="L4" s="1">
        <v>49.5</v>
      </c>
      <c r="M4">
        <v>56</v>
      </c>
      <c r="N4" s="9">
        <f t="shared" si="3"/>
        <v>67.354</v>
      </c>
      <c r="O4" t="s">
        <v>17</v>
      </c>
    </row>
    <row r="5" spans="1:16">
      <c r="A5" t="s">
        <v>21</v>
      </c>
      <c r="B5">
        <v>45</v>
      </c>
      <c r="C5">
        <v>51</v>
      </c>
      <c r="D5">
        <v>71</v>
      </c>
      <c r="E5">
        <v>48</v>
      </c>
      <c r="F5">
        <v>58</v>
      </c>
      <c r="G5" s="14">
        <f t="shared" si="0"/>
        <v>54.6</v>
      </c>
      <c r="H5">
        <v>65</v>
      </c>
      <c r="I5">
        <v>68</v>
      </c>
      <c r="J5" s="14">
        <f t="shared" si="1"/>
        <v>66.5</v>
      </c>
      <c r="K5" s="1">
        <f t="shared" si="2"/>
        <v>62.93</v>
      </c>
      <c r="L5" s="1">
        <v>0</v>
      </c>
      <c r="N5" s="9">
        <f t="shared" si="3"/>
        <v>37.758</v>
      </c>
      <c r="O5" t="s">
        <v>22</v>
      </c>
    </row>
    <row r="6" spans="1:16">
      <c r="A6" t="s">
        <v>23</v>
      </c>
      <c r="B6">
        <v>85</v>
      </c>
      <c r="C6">
        <v>70</v>
      </c>
      <c r="D6">
        <v>68</v>
      </c>
      <c r="E6">
        <v>80</v>
      </c>
      <c r="F6">
        <v>68</v>
      </c>
      <c r="G6" s="14">
        <f t="shared" si="0"/>
        <v>74.2</v>
      </c>
      <c r="H6">
        <v>77</v>
      </c>
      <c r="I6">
        <v>65</v>
      </c>
      <c r="J6" s="14">
        <f t="shared" si="1"/>
        <v>71</v>
      </c>
      <c r="K6" s="1">
        <f t="shared" si="2"/>
        <v>71.96</v>
      </c>
      <c r="L6" s="1">
        <v>42.5</v>
      </c>
      <c r="M6">
        <v>63</v>
      </c>
      <c r="N6" s="9">
        <f t="shared" si="3"/>
        <v>64.276</v>
      </c>
      <c r="O6" t="s">
        <v>19</v>
      </c>
    </row>
    <row r="7" spans="1:16">
      <c r="A7" t="s">
        <v>24</v>
      </c>
      <c r="B7">
        <v>100</v>
      </c>
      <c r="C7">
        <v>90</v>
      </c>
      <c r="D7">
        <v>76</v>
      </c>
      <c r="E7">
        <v>75</v>
      </c>
      <c r="F7">
        <v>74</v>
      </c>
      <c r="G7" s="14">
        <f t="shared" si="0"/>
        <v>83</v>
      </c>
      <c r="H7">
        <v>66</v>
      </c>
      <c r="I7">
        <v>70</v>
      </c>
      <c r="J7" s="14">
        <f t="shared" si="1"/>
        <v>68</v>
      </c>
      <c r="K7" s="1">
        <f t="shared" si="2"/>
        <v>72.5</v>
      </c>
      <c r="L7" s="1">
        <v>42.5</v>
      </c>
      <c r="M7">
        <v>69</v>
      </c>
      <c r="N7" s="9">
        <f t="shared" si="3"/>
        <v>65.8</v>
      </c>
      <c r="O7" t="s">
        <v>19</v>
      </c>
    </row>
    <row r="8" spans="1:16">
      <c r="A8" t="s">
        <v>25</v>
      </c>
      <c r="B8">
        <v>58</v>
      </c>
      <c r="C8">
        <v>69</v>
      </c>
      <c r="D8">
        <v>70</v>
      </c>
      <c r="E8">
        <v>78</v>
      </c>
      <c r="F8">
        <v>65</v>
      </c>
      <c r="G8" s="14">
        <f t="shared" si="0"/>
        <v>68</v>
      </c>
      <c r="H8">
        <v>61</v>
      </c>
      <c r="I8">
        <v>73</v>
      </c>
      <c r="J8" s="14">
        <f t="shared" si="1"/>
        <v>67</v>
      </c>
      <c r="K8" s="1">
        <f t="shared" si="2"/>
        <v>67.3</v>
      </c>
      <c r="L8" s="1">
        <v>66.5</v>
      </c>
      <c r="M8">
        <v>50</v>
      </c>
      <c r="N8" s="9">
        <f t="shared" si="3"/>
        <v>63.68</v>
      </c>
      <c r="O8" t="s">
        <v>19</v>
      </c>
    </row>
    <row r="9" spans="1:16">
      <c r="A9" t="s">
        <v>26</v>
      </c>
      <c r="B9">
        <v>39</v>
      </c>
      <c r="C9">
        <v>61</v>
      </c>
      <c r="D9">
        <v>63</v>
      </c>
      <c r="E9">
        <v>62</v>
      </c>
      <c r="F9">
        <v>34</v>
      </c>
      <c r="G9" s="14">
        <f t="shared" si="0"/>
        <v>51.8</v>
      </c>
      <c r="H9">
        <v>72</v>
      </c>
      <c r="I9">
        <v>77</v>
      </c>
      <c r="J9" s="14">
        <f t="shared" si="1"/>
        <v>74.5</v>
      </c>
      <c r="K9" s="1">
        <f t="shared" si="2"/>
        <v>67.69</v>
      </c>
      <c r="L9" s="1">
        <v>59</v>
      </c>
      <c r="M9">
        <v>33</v>
      </c>
      <c r="N9" s="9">
        <f t="shared" si="3"/>
        <v>59.014</v>
      </c>
      <c r="O9" t="s">
        <v>19</v>
      </c>
    </row>
    <row r="10" spans="1:16">
      <c r="A10" t="s">
        <v>27</v>
      </c>
      <c r="B10">
        <v>65</v>
      </c>
      <c r="C10">
        <v>70</v>
      </c>
      <c r="D10">
        <v>62</v>
      </c>
      <c r="E10">
        <v>63</v>
      </c>
      <c r="F10">
        <v>58</v>
      </c>
      <c r="G10" s="14">
        <f t="shared" si="0"/>
        <v>63.6</v>
      </c>
      <c r="H10">
        <v>71</v>
      </c>
      <c r="I10">
        <v>70</v>
      </c>
      <c r="J10" s="14">
        <f t="shared" si="1"/>
        <v>70.5</v>
      </c>
      <c r="K10" s="1">
        <f t="shared" si="2"/>
        <v>68.43</v>
      </c>
      <c r="L10" s="1">
        <v>35.5</v>
      </c>
      <c r="M10">
        <v>43</v>
      </c>
      <c r="N10" s="9">
        <f t="shared" si="3"/>
        <v>56.758</v>
      </c>
      <c r="O10" t="s">
        <v>19</v>
      </c>
    </row>
    <row r="11" spans="1:16">
      <c r="A11" t="s">
        <v>28</v>
      </c>
      <c r="B11">
        <v>65</v>
      </c>
      <c r="C11">
        <v>59</v>
      </c>
      <c r="D11">
        <v>60</v>
      </c>
      <c r="E11">
        <v>70</v>
      </c>
      <c r="F11">
        <v>69</v>
      </c>
      <c r="G11" s="14">
        <f t="shared" si="0"/>
        <v>64.6</v>
      </c>
      <c r="H11">
        <v>81</v>
      </c>
      <c r="I11">
        <v>68</v>
      </c>
      <c r="J11" s="14">
        <f t="shared" si="1"/>
        <v>74.5</v>
      </c>
      <c r="K11" s="1">
        <f t="shared" si="2"/>
        <v>71.53</v>
      </c>
      <c r="L11" s="1">
        <v>74.5</v>
      </c>
      <c r="M11">
        <v>79</v>
      </c>
      <c r="N11" s="9">
        <f t="shared" si="3"/>
        <v>73.618</v>
      </c>
      <c r="O11" t="s">
        <v>17</v>
      </c>
    </row>
    <row r="12" spans="1:16">
      <c r="A12" t="s">
        <v>29</v>
      </c>
      <c r="B12">
        <v>54</v>
      </c>
      <c r="C12">
        <v>66</v>
      </c>
      <c r="D12">
        <v>89</v>
      </c>
      <c r="E12">
        <v>65</v>
      </c>
      <c r="F12">
        <v>66</v>
      </c>
      <c r="G12" s="14">
        <f t="shared" si="0"/>
        <v>68</v>
      </c>
      <c r="H12">
        <v>56</v>
      </c>
      <c r="I12">
        <v>69</v>
      </c>
      <c r="J12" s="14">
        <f t="shared" si="1"/>
        <v>62.5</v>
      </c>
      <c r="K12" s="1">
        <f t="shared" si="2"/>
        <v>64.15</v>
      </c>
      <c r="L12" s="1">
        <v>58.5</v>
      </c>
      <c r="M12">
        <v>78</v>
      </c>
      <c r="N12" s="9">
        <f t="shared" si="3"/>
        <v>65.79</v>
      </c>
      <c r="O12" t="s">
        <v>17</v>
      </c>
    </row>
    <row r="13" spans="1:16">
      <c r="A13" t="s">
        <v>30</v>
      </c>
      <c r="B13">
        <v>96</v>
      </c>
      <c r="C13">
        <v>71</v>
      </c>
      <c r="D13">
        <v>80</v>
      </c>
      <c r="E13">
        <v>80</v>
      </c>
      <c r="F13">
        <v>88</v>
      </c>
      <c r="G13" s="14">
        <f t="shared" si="0"/>
        <v>83</v>
      </c>
      <c r="H13">
        <v>72</v>
      </c>
      <c r="I13">
        <v>71</v>
      </c>
      <c r="J13" s="14">
        <f t="shared" si="1"/>
        <v>71.5</v>
      </c>
      <c r="K13" s="1">
        <f t="shared" si="2"/>
        <v>74.95</v>
      </c>
      <c r="L13" s="1">
        <v>68</v>
      </c>
      <c r="M13">
        <v>62</v>
      </c>
      <c r="N13" s="9">
        <f t="shared" si="3"/>
        <v>70.97</v>
      </c>
      <c r="O13" t="s">
        <v>17</v>
      </c>
    </row>
    <row r="14" spans="1:16">
      <c r="A14" t="s">
        <v>31</v>
      </c>
      <c r="B14">
        <v>41</v>
      </c>
      <c r="C14">
        <v>52</v>
      </c>
      <c r="D14">
        <v>66</v>
      </c>
      <c r="E14">
        <v>88</v>
      </c>
      <c r="F14">
        <v>77</v>
      </c>
      <c r="G14" s="14">
        <f t="shared" si="0"/>
        <v>64.8</v>
      </c>
      <c r="H14">
        <v>71</v>
      </c>
      <c r="I14">
        <v>71</v>
      </c>
      <c r="J14" s="14">
        <f t="shared" si="1"/>
        <v>71</v>
      </c>
      <c r="K14" s="1">
        <f t="shared" si="2"/>
        <v>69.14</v>
      </c>
      <c r="L14" s="1">
        <v>62</v>
      </c>
      <c r="M14">
        <v>73</v>
      </c>
      <c r="N14" s="9">
        <f t="shared" si="3"/>
        <v>68.484</v>
      </c>
      <c r="O14" t="s">
        <v>17</v>
      </c>
    </row>
    <row r="15" spans="1:16">
      <c r="A15" t="s">
        <v>32</v>
      </c>
      <c r="B15">
        <v>34</v>
      </c>
      <c r="C15">
        <v>70</v>
      </c>
      <c r="D15">
        <v>61</v>
      </c>
      <c r="E15">
        <v>57</v>
      </c>
      <c r="F15">
        <v>69</v>
      </c>
      <c r="G15" s="14">
        <f t="shared" si="0"/>
        <v>58.2</v>
      </c>
      <c r="H15">
        <v>72</v>
      </c>
      <c r="I15">
        <v>71</v>
      </c>
      <c r="J15" s="14">
        <f t="shared" si="1"/>
        <v>71.5</v>
      </c>
      <c r="K15" s="1">
        <f t="shared" si="2"/>
        <v>67.51</v>
      </c>
      <c r="L15" s="1">
        <v>70</v>
      </c>
      <c r="M15">
        <v>62</v>
      </c>
      <c r="N15" s="9">
        <f t="shared" si="3"/>
        <v>66.906</v>
      </c>
      <c r="O15" t="s">
        <v>17</v>
      </c>
    </row>
    <row r="16" spans="1:16">
      <c r="A16" t="s">
        <v>33</v>
      </c>
      <c r="B16">
        <v>53</v>
      </c>
      <c r="C16">
        <v>77</v>
      </c>
      <c r="D16">
        <v>60</v>
      </c>
      <c r="E16">
        <v>58</v>
      </c>
      <c r="F16">
        <v>55</v>
      </c>
      <c r="G16" s="14">
        <f t="shared" si="0"/>
        <v>60.6</v>
      </c>
      <c r="H16">
        <v>72</v>
      </c>
      <c r="I16">
        <v>77</v>
      </c>
      <c r="J16" s="14">
        <f t="shared" si="1"/>
        <v>74.5</v>
      </c>
      <c r="K16" s="1">
        <f t="shared" si="2"/>
        <v>70.33</v>
      </c>
      <c r="L16" s="1">
        <v>45</v>
      </c>
      <c r="M16">
        <v>50</v>
      </c>
      <c r="N16" s="9">
        <f t="shared" si="3"/>
        <v>61.198</v>
      </c>
      <c r="O16" t="s">
        <v>17</v>
      </c>
    </row>
    <row r="17" spans="1:15">
      <c r="A17" t="s">
        <v>34</v>
      </c>
      <c r="B17">
        <v>37</v>
      </c>
      <c r="C17">
        <v>61</v>
      </c>
      <c r="D17">
        <v>61</v>
      </c>
      <c r="E17">
        <v>52</v>
      </c>
      <c r="F17">
        <v>53</v>
      </c>
      <c r="G17" s="14">
        <f t="shared" si="0"/>
        <v>52.8</v>
      </c>
      <c r="H17">
        <v>62</v>
      </c>
      <c r="I17">
        <v>71</v>
      </c>
      <c r="J17" s="14">
        <f t="shared" si="1"/>
        <v>66.5</v>
      </c>
      <c r="K17" s="1">
        <f t="shared" si="2"/>
        <v>62.39</v>
      </c>
      <c r="L17" s="1">
        <v>57.5</v>
      </c>
      <c r="M17">
        <v>45</v>
      </c>
      <c r="N17" s="9">
        <f t="shared" si="3"/>
        <v>57.934</v>
      </c>
      <c r="O17" t="s">
        <v>19</v>
      </c>
    </row>
    <row r="18" spans="1:15">
      <c r="A18" t="s">
        <v>35</v>
      </c>
      <c r="B18">
        <v>79</v>
      </c>
      <c r="C18">
        <v>72</v>
      </c>
      <c r="D18">
        <v>52</v>
      </c>
      <c r="E18">
        <v>80</v>
      </c>
      <c r="F18">
        <v>66</v>
      </c>
      <c r="G18" s="14">
        <f t="shared" si="0"/>
        <v>69.8</v>
      </c>
      <c r="H18">
        <v>73</v>
      </c>
      <c r="I18">
        <v>73</v>
      </c>
      <c r="J18" s="14">
        <f t="shared" si="1"/>
        <v>73</v>
      </c>
      <c r="K18" s="1">
        <f t="shared" si="2"/>
        <v>72.04</v>
      </c>
      <c r="L18" s="1">
        <v>38</v>
      </c>
      <c r="M18">
        <v>73</v>
      </c>
      <c r="N18" s="9">
        <f t="shared" si="3"/>
        <v>65.424</v>
      </c>
      <c r="O18" t="s">
        <v>17</v>
      </c>
    </row>
    <row r="19" spans="1:15">
      <c r="A19" t="s">
        <v>36</v>
      </c>
      <c r="B19">
        <v>60</v>
      </c>
      <c r="C19">
        <v>65</v>
      </c>
      <c r="D19">
        <v>66</v>
      </c>
      <c r="E19">
        <v>80</v>
      </c>
      <c r="F19">
        <v>79</v>
      </c>
      <c r="G19" s="14">
        <f t="shared" si="0"/>
        <v>70</v>
      </c>
      <c r="H19">
        <v>62</v>
      </c>
      <c r="I19">
        <v>65</v>
      </c>
      <c r="J19" s="14">
        <f t="shared" si="1"/>
        <v>63.5</v>
      </c>
      <c r="K19" s="1">
        <f t="shared" si="2"/>
        <v>65.45</v>
      </c>
      <c r="L19" s="1">
        <v>51.5</v>
      </c>
      <c r="M19">
        <v>82</v>
      </c>
      <c r="N19" s="9">
        <f t="shared" si="3"/>
        <v>65.97</v>
      </c>
      <c r="O19" t="s">
        <v>17</v>
      </c>
    </row>
    <row r="20" spans="1:15">
      <c r="A20" t="s">
        <v>37</v>
      </c>
      <c r="B20">
        <v>66</v>
      </c>
      <c r="C20">
        <v>71</v>
      </c>
      <c r="D20">
        <v>62</v>
      </c>
      <c r="E20">
        <v>77</v>
      </c>
      <c r="F20">
        <v>69</v>
      </c>
      <c r="G20" s="14">
        <f t="shared" si="0"/>
        <v>69</v>
      </c>
      <c r="H20">
        <v>61</v>
      </c>
      <c r="I20">
        <v>62</v>
      </c>
      <c r="J20" s="14">
        <f t="shared" si="1"/>
        <v>61.5</v>
      </c>
      <c r="K20" s="1">
        <f t="shared" si="2"/>
        <v>63.75</v>
      </c>
      <c r="L20" s="1">
        <v>73.5</v>
      </c>
      <c r="M20">
        <v>76</v>
      </c>
      <c r="N20" s="9">
        <f t="shared" si="3"/>
        <v>68.15</v>
      </c>
      <c r="O20" t="s">
        <v>17</v>
      </c>
    </row>
    <row r="23" spans="1:15">
      <c r="E23" t="s">
        <v>38</v>
      </c>
    </row>
  </sheetData>
  <sortState ref="A2:P20">
    <sortCondition ref="A2"/>
  </sortState>
  <pageMargins left="0.7" right="0.7" top="0.75" bottom="0.75" header="0.3" footer="0.3"/>
  <pageSetup paperSize="9" fitToHeight="0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21"/>
  <sheetViews>
    <sheetView workbookViewId="0">
      <selection activeCell="Q1" sqref="Q1"/>
    </sheetView>
  </sheetViews>
  <sheetFormatPr defaultColWidth="9" defaultRowHeight="15"/>
  <cols>
    <col min="1" max="1" width="19.1047619047619" customWidth="1"/>
    <col min="2" max="3" width="4.88571428571429" customWidth="1"/>
    <col min="4" max="4" width="5.21904761904762" customWidth="1"/>
    <col min="5" max="7" width="4.88571428571429" customWidth="1"/>
    <col min="8" max="8" width="5.33333333333333" customWidth="1"/>
    <col min="9" max="11" width="5.1047619047619" customWidth="1"/>
    <col min="12" max="12" width="6.33333333333333" customWidth="1"/>
    <col min="13" max="17" width="5" customWidth="1"/>
    <col min="18" max="18" width="6.33333333333333" customWidth="1"/>
    <col min="19" max="19" width="5.21904761904762" customWidth="1"/>
    <col min="20" max="20" width="10.4380952380952" customWidth="1"/>
    <col min="21" max="21" width="8" customWidth="1"/>
    <col min="22" max="22" width="7.43809523809524" customWidth="1"/>
    <col min="23" max="23" width="10.4380952380952" customWidth="1"/>
  </cols>
  <sheetData>
    <row r="1" spans="1:23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10</v>
      </c>
      <c r="T1" t="s">
        <v>56</v>
      </c>
      <c r="U1" t="s">
        <v>57</v>
      </c>
      <c r="V1" t="s">
        <v>13</v>
      </c>
      <c r="W1" t="s">
        <v>58</v>
      </c>
    </row>
    <row r="2" spans="1:23">
      <c r="A2" t="s">
        <v>59</v>
      </c>
      <c r="B2">
        <v>77</v>
      </c>
      <c r="C2">
        <v>56</v>
      </c>
      <c r="D2">
        <v>72</v>
      </c>
      <c r="E2">
        <v>55</v>
      </c>
      <c r="F2">
        <v>55</v>
      </c>
      <c r="G2">
        <v>40</v>
      </c>
      <c r="H2" s="14">
        <f>((B2+C2+D2+E2+F2+G2)/6)</f>
        <v>59.1666666666667</v>
      </c>
      <c r="I2">
        <v>93</v>
      </c>
      <c r="J2">
        <v>50</v>
      </c>
      <c r="K2">
        <v>75</v>
      </c>
      <c r="L2" s="1">
        <f>(I2+J2+K2)/3</f>
        <v>72.6666666666667</v>
      </c>
      <c r="M2">
        <v>70</v>
      </c>
      <c r="N2">
        <v>70</v>
      </c>
      <c r="O2">
        <v>70</v>
      </c>
      <c r="P2">
        <v>70</v>
      </c>
      <c r="Q2">
        <v>60</v>
      </c>
      <c r="R2" s="14">
        <f>(M2+N2+O2+P2+Q2)/5</f>
        <v>68</v>
      </c>
      <c r="S2" s="14">
        <f>((H2*0.2)+(L2*0.1)+(R2*0.7))</f>
        <v>66.7</v>
      </c>
      <c r="T2" s="1">
        <v>66</v>
      </c>
      <c r="U2">
        <v>63</v>
      </c>
      <c r="V2" s="1">
        <f>((S2*0.6)+(T2*0.2)+(U2*0.2))</f>
        <v>65.82</v>
      </c>
      <c r="W2" t="s">
        <v>17</v>
      </c>
    </row>
    <row r="3" spans="1:23">
      <c r="A3" t="s">
        <v>60</v>
      </c>
      <c r="B3">
        <v>37</v>
      </c>
      <c r="C3">
        <v>72</v>
      </c>
      <c r="D3">
        <v>40</v>
      </c>
      <c r="E3">
        <v>60</v>
      </c>
      <c r="F3">
        <v>60</v>
      </c>
      <c r="G3">
        <v>54</v>
      </c>
      <c r="H3" s="14">
        <f t="shared" ref="H3:H16" si="0">((B3+C3+D3+E3+F3+G3)/6)</f>
        <v>53.8333333333333</v>
      </c>
      <c r="I3">
        <v>67</v>
      </c>
      <c r="J3">
        <v>50</v>
      </c>
      <c r="K3">
        <v>59</v>
      </c>
      <c r="L3" s="1">
        <f t="shared" ref="L3:L16" si="1">(I3+J3+K3)/3</f>
        <v>58.6666666666667</v>
      </c>
      <c r="M3">
        <v>70</v>
      </c>
      <c r="N3">
        <v>56</v>
      </c>
      <c r="O3">
        <v>65</v>
      </c>
      <c r="P3">
        <v>50</v>
      </c>
      <c r="Q3">
        <v>55</v>
      </c>
      <c r="R3" s="14">
        <f t="shared" ref="R3:R16" si="2">(M3+N3+O3+P3+Q3)/5</f>
        <v>59.2</v>
      </c>
      <c r="S3" s="14">
        <f t="shared" ref="S3:S16" si="3">((H3*0.2)+(L3*0.1)+(R3*0.7))</f>
        <v>58.0733333333333</v>
      </c>
      <c r="T3" s="1">
        <v>24.5</v>
      </c>
      <c r="U3">
        <v>40</v>
      </c>
      <c r="V3" s="1">
        <v>50</v>
      </c>
      <c r="W3" t="s">
        <v>19</v>
      </c>
    </row>
    <row r="4" spans="1:23">
      <c r="A4" t="s">
        <v>61</v>
      </c>
      <c r="B4">
        <v>66</v>
      </c>
      <c r="C4">
        <v>55</v>
      </c>
      <c r="D4">
        <v>90</v>
      </c>
      <c r="E4">
        <v>62</v>
      </c>
      <c r="F4">
        <v>60</v>
      </c>
      <c r="G4">
        <v>54</v>
      </c>
      <c r="H4" s="14">
        <f t="shared" si="0"/>
        <v>64.5</v>
      </c>
      <c r="I4">
        <v>87</v>
      </c>
      <c r="J4">
        <v>50</v>
      </c>
      <c r="K4">
        <v>0</v>
      </c>
      <c r="L4" s="1">
        <f t="shared" si="1"/>
        <v>45.6666666666667</v>
      </c>
      <c r="M4">
        <v>75</v>
      </c>
      <c r="N4">
        <v>80</v>
      </c>
      <c r="O4">
        <v>72</v>
      </c>
      <c r="P4">
        <v>70</v>
      </c>
      <c r="Q4">
        <v>60</v>
      </c>
      <c r="R4" s="14">
        <f t="shared" si="2"/>
        <v>71.4</v>
      </c>
      <c r="S4" s="14">
        <f t="shared" si="3"/>
        <v>67.4466666666667</v>
      </c>
      <c r="T4" s="1">
        <v>43.5</v>
      </c>
      <c r="U4">
        <v>64</v>
      </c>
      <c r="V4" s="1">
        <f t="shared" ref="V4:V16" si="4">((S4*0.6)+(T4*0.2)+(U4*0.2))</f>
        <v>61.968</v>
      </c>
      <c r="W4" t="s">
        <v>19</v>
      </c>
    </row>
    <row r="5" spans="1:23">
      <c r="A5" t="s">
        <v>62</v>
      </c>
      <c r="B5">
        <v>29</v>
      </c>
      <c r="C5">
        <v>50</v>
      </c>
      <c r="D5">
        <v>40</v>
      </c>
      <c r="E5">
        <v>40</v>
      </c>
      <c r="F5">
        <v>0</v>
      </c>
      <c r="G5">
        <v>0</v>
      </c>
      <c r="H5" s="14">
        <f t="shared" si="0"/>
        <v>26.5</v>
      </c>
      <c r="I5">
        <v>73</v>
      </c>
      <c r="J5">
        <v>0</v>
      </c>
      <c r="K5">
        <v>0</v>
      </c>
      <c r="L5" s="1">
        <f t="shared" si="1"/>
        <v>24.3333333333333</v>
      </c>
      <c r="M5">
        <v>0</v>
      </c>
      <c r="N5">
        <v>0</v>
      </c>
      <c r="O5">
        <v>0</v>
      </c>
      <c r="P5">
        <v>0</v>
      </c>
      <c r="Q5">
        <v>0</v>
      </c>
      <c r="R5" s="14">
        <f t="shared" si="2"/>
        <v>0</v>
      </c>
      <c r="S5" s="14">
        <f t="shared" si="3"/>
        <v>7.73333333333333</v>
      </c>
      <c r="T5" s="1">
        <v>7</v>
      </c>
      <c r="U5">
        <v>33</v>
      </c>
      <c r="V5" s="1">
        <f t="shared" si="4"/>
        <v>12.64</v>
      </c>
      <c r="W5" t="s">
        <v>63</v>
      </c>
    </row>
    <row r="6" spans="1:23">
      <c r="A6" t="s">
        <v>64</v>
      </c>
      <c r="B6">
        <v>0</v>
      </c>
      <c r="C6">
        <v>62</v>
      </c>
      <c r="D6">
        <v>52</v>
      </c>
      <c r="E6">
        <v>62</v>
      </c>
      <c r="F6">
        <v>50</v>
      </c>
      <c r="G6">
        <v>55</v>
      </c>
      <c r="H6" s="14">
        <f t="shared" si="0"/>
        <v>46.8333333333333</v>
      </c>
      <c r="I6">
        <v>80</v>
      </c>
      <c r="J6">
        <v>40</v>
      </c>
      <c r="K6">
        <v>50</v>
      </c>
      <c r="L6" s="1">
        <f t="shared" si="1"/>
        <v>56.6666666666667</v>
      </c>
      <c r="M6">
        <v>70</v>
      </c>
      <c r="N6">
        <v>74</v>
      </c>
      <c r="O6">
        <v>65</v>
      </c>
      <c r="P6">
        <v>68</v>
      </c>
      <c r="Q6">
        <v>50</v>
      </c>
      <c r="R6" s="14">
        <f t="shared" si="2"/>
        <v>65.4</v>
      </c>
      <c r="S6" s="14">
        <f t="shared" si="3"/>
        <v>60.8133333333333</v>
      </c>
      <c r="T6" s="1">
        <v>27.5</v>
      </c>
      <c r="U6">
        <v>67</v>
      </c>
      <c r="V6" s="1">
        <f t="shared" si="4"/>
        <v>55.388</v>
      </c>
      <c r="W6" t="s">
        <v>19</v>
      </c>
    </row>
    <row r="7" spans="1:23">
      <c r="A7" t="s">
        <v>65</v>
      </c>
      <c r="B7">
        <v>63</v>
      </c>
      <c r="C7">
        <v>77</v>
      </c>
      <c r="D7">
        <v>55</v>
      </c>
      <c r="E7">
        <v>65</v>
      </c>
      <c r="F7">
        <v>60</v>
      </c>
      <c r="G7">
        <v>65</v>
      </c>
      <c r="H7" s="14">
        <f t="shared" si="0"/>
        <v>64.1666666666667</v>
      </c>
      <c r="I7">
        <v>93</v>
      </c>
      <c r="J7">
        <v>52</v>
      </c>
      <c r="K7">
        <v>70</v>
      </c>
      <c r="L7" s="1">
        <f t="shared" si="1"/>
        <v>71.6666666666667</v>
      </c>
      <c r="M7">
        <v>70</v>
      </c>
      <c r="N7">
        <v>66</v>
      </c>
      <c r="O7">
        <v>70</v>
      </c>
      <c r="P7">
        <v>70</v>
      </c>
      <c r="Q7">
        <v>62</v>
      </c>
      <c r="R7" s="14">
        <f t="shared" si="2"/>
        <v>67.6</v>
      </c>
      <c r="S7" s="14">
        <f t="shared" si="3"/>
        <v>67.32</v>
      </c>
      <c r="T7" s="1">
        <v>20.5</v>
      </c>
      <c r="U7">
        <v>62</v>
      </c>
      <c r="V7" s="1">
        <f t="shared" si="4"/>
        <v>56.892</v>
      </c>
      <c r="W7" t="s">
        <v>19</v>
      </c>
    </row>
    <row r="8" spans="1:23">
      <c r="A8" t="s">
        <v>66</v>
      </c>
      <c r="B8">
        <v>43</v>
      </c>
      <c r="C8">
        <v>44</v>
      </c>
      <c r="D8">
        <v>0</v>
      </c>
      <c r="E8">
        <v>0</v>
      </c>
      <c r="F8">
        <v>0</v>
      </c>
      <c r="G8">
        <v>0</v>
      </c>
      <c r="H8" s="14">
        <f t="shared" si="0"/>
        <v>14.5</v>
      </c>
      <c r="I8">
        <v>0</v>
      </c>
      <c r="J8">
        <v>51</v>
      </c>
      <c r="K8">
        <v>0</v>
      </c>
      <c r="L8" s="1">
        <f t="shared" si="1"/>
        <v>17</v>
      </c>
      <c r="M8">
        <v>0</v>
      </c>
      <c r="N8">
        <v>0</v>
      </c>
      <c r="O8">
        <v>0</v>
      </c>
      <c r="P8">
        <v>0</v>
      </c>
      <c r="Q8">
        <v>0</v>
      </c>
      <c r="R8" s="14">
        <f t="shared" si="2"/>
        <v>0</v>
      </c>
      <c r="S8" s="14">
        <f t="shared" si="3"/>
        <v>4.6</v>
      </c>
      <c r="T8" s="1">
        <v>29.5</v>
      </c>
      <c r="U8">
        <v>66</v>
      </c>
      <c r="V8" s="1">
        <f t="shared" si="4"/>
        <v>21.86</v>
      </c>
      <c r="W8" t="s">
        <v>63</v>
      </c>
    </row>
    <row r="9" spans="1:23">
      <c r="A9" t="s">
        <v>67</v>
      </c>
      <c r="B9">
        <v>51</v>
      </c>
      <c r="C9">
        <v>55</v>
      </c>
      <c r="D9">
        <v>52</v>
      </c>
      <c r="E9">
        <v>54</v>
      </c>
      <c r="F9">
        <v>70</v>
      </c>
      <c r="G9">
        <v>60</v>
      </c>
      <c r="H9" s="14">
        <f t="shared" si="0"/>
        <v>57</v>
      </c>
      <c r="I9">
        <v>80</v>
      </c>
      <c r="J9">
        <v>50</v>
      </c>
      <c r="K9">
        <v>62</v>
      </c>
      <c r="L9" s="1">
        <f t="shared" si="1"/>
        <v>64</v>
      </c>
      <c r="M9">
        <v>75</v>
      </c>
      <c r="N9">
        <v>60</v>
      </c>
      <c r="O9">
        <v>70</v>
      </c>
      <c r="P9">
        <v>70</v>
      </c>
      <c r="Q9">
        <v>50</v>
      </c>
      <c r="R9" s="14">
        <f t="shared" si="2"/>
        <v>65</v>
      </c>
      <c r="S9" s="14">
        <f t="shared" si="3"/>
        <v>63.3</v>
      </c>
      <c r="T9" s="1">
        <v>30</v>
      </c>
      <c r="U9">
        <v>57</v>
      </c>
      <c r="V9" s="1">
        <f t="shared" si="4"/>
        <v>55.38</v>
      </c>
      <c r="W9" t="s">
        <v>19</v>
      </c>
    </row>
    <row r="10" spans="1:23">
      <c r="A10" t="s">
        <v>68</v>
      </c>
      <c r="B10">
        <v>74</v>
      </c>
      <c r="C10">
        <v>61</v>
      </c>
      <c r="D10">
        <v>69</v>
      </c>
      <c r="E10">
        <v>68</v>
      </c>
      <c r="F10">
        <v>60</v>
      </c>
      <c r="G10">
        <v>65</v>
      </c>
      <c r="H10" s="14">
        <f t="shared" si="0"/>
        <v>66.1666666666667</v>
      </c>
      <c r="I10">
        <v>80</v>
      </c>
      <c r="J10">
        <v>50</v>
      </c>
      <c r="K10">
        <v>62</v>
      </c>
      <c r="L10" s="1">
        <f t="shared" si="1"/>
        <v>64</v>
      </c>
      <c r="M10">
        <v>80</v>
      </c>
      <c r="N10">
        <v>78</v>
      </c>
      <c r="O10">
        <v>69</v>
      </c>
      <c r="P10">
        <v>70</v>
      </c>
      <c r="Q10">
        <v>63</v>
      </c>
      <c r="R10" s="14">
        <f t="shared" si="2"/>
        <v>72</v>
      </c>
      <c r="S10" s="14">
        <f t="shared" si="3"/>
        <v>70.0333333333333</v>
      </c>
      <c r="T10" s="1">
        <v>72.5</v>
      </c>
      <c r="U10">
        <v>78</v>
      </c>
      <c r="V10" s="1">
        <f t="shared" si="4"/>
        <v>72.12</v>
      </c>
      <c r="W10" t="s">
        <v>17</v>
      </c>
    </row>
    <row r="11" spans="1:23">
      <c r="A11" t="s">
        <v>69</v>
      </c>
      <c r="B11">
        <v>77</v>
      </c>
      <c r="C11">
        <v>63</v>
      </c>
      <c r="D11">
        <v>69</v>
      </c>
      <c r="E11">
        <v>80</v>
      </c>
      <c r="F11">
        <v>50</v>
      </c>
      <c r="G11">
        <v>54</v>
      </c>
      <c r="H11" s="14">
        <f t="shared" si="0"/>
        <v>65.5</v>
      </c>
      <c r="I11">
        <v>73</v>
      </c>
      <c r="J11">
        <v>50</v>
      </c>
      <c r="K11">
        <v>70</v>
      </c>
      <c r="L11" s="1">
        <f t="shared" si="1"/>
        <v>64.3333333333333</v>
      </c>
      <c r="M11">
        <v>60</v>
      </c>
      <c r="N11">
        <v>80</v>
      </c>
      <c r="O11">
        <v>70</v>
      </c>
      <c r="P11">
        <v>70</v>
      </c>
      <c r="Q11">
        <v>60</v>
      </c>
      <c r="R11" s="14">
        <f t="shared" si="2"/>
        <v>68</v>
      </c>
      <c r="S11" s="14">
        <f t="shared" si="3"/>
        <v>67.1333333333333</v>
      </c>
      <c r="T11" s="1">
        <v>75.5</v>
      </c>
      <c r="U11">
        <v>64</v>
      </c>
      <c r="V11" s="1">
        <f t="shared" si="4"/>
        <v>68.18</v>
      </c>
      <c r="W11" t="s">
        <v>17</v>
      </c>
    </row>
    <row r="12" spans="1:23">
      <c r="A12" t="s">
        <v>70</v>
      </c>
      <c r="B12">
        <v>60</v>
      </c>
      <c r="C12">
        <v>56</v>
      </c>
      <c r="D12">
        <v>62</v>
      </c>
      <c r="E12">
        <v>80</v>
      </c>
      <c r="F12">
        <v>40</v>
      </c>
      <c r="G12">
        <v>60</v>
      </c>
      <c r="H12" s="14">
        <f t="shared" si="0"/>
        <v>59.6666666666667</v>
      </c>
      <c r="I12">
        <v>87</v>
      </c>
      <c r="J12">
        <v>50</v>
      </c>
      <c r="K12">
        <v>64</v>
      </c>
      <c r="L12" s="1">
        <f t="shared" si="1"/>
        <v>67</v>
      </c>
      <c r="M12">
        <v>70</v>
      </c>
      <c r="N12">
        <v>50</v>
      </c>
      <c r="O12">
        <v>70</v>
      </c>
      <c r="P12">
        <v>62</v>
      </c>
      <c r="Q12">
        <v>40</v>
      </c>
      <c r="R12" s="14">
        <f t="shared" si="2"/>
        <v>58.4</v>
      </c>
      <c r="S12" s="14">
        <f t="shared" si="3"/>
        <v>59.5133333333333</v>
      </c>
      <c r="T12" s="1">
        <v>85.5</v>
      </c>
      <c r="U12">
        <v>80</v>
      </c>
      <c r="V12" s="1">
        <f t="shared" si="4"/>
        <v>68.808</v>
      </c>
      <c r="W12" t="s">
        <v>17</v>
      </c>
    </row>
    <row r="13" spans="1:23">
      <c r="A13" t="s">
        <v>71</v>
      </c>
      <c r="B13">
        <v>60</v>
      </c>
      <c r="C13">
        <v>65</v>
      </c>
      <c r="D13">
        <v>55</v>
      </c>
      <c r="E13">
        <v>65</v>
      </c>
      <c r="F13">
        <v>0</v>
      </c>
      <c r="G13">
        <v>0</v>
      </c>
      <c r="H13" s="14">
        <f t="shared" si="0"/>
        <v>40.8333333333333</v>
      </c>
      <c r="I13">
        <v>73</v>
      </c>
      <c r="J13">
        <v>50</v>
      </c>
      <c r="K13">
        <v>0</v>
      </c>
      <c r="L13" s="1">
        <f t="shared" si="1"/>
        <v>41</v>
      </c>
      <c r="M13">
        <v>40</v>
      </c>
      <c r="N13">
        <v>52</v>
      </c>
      <c r="O13">
        <v>0</v>
      </c>
      <c r="P13">
        <v>0</v>
      </c>
      <c r="Q13">
        <v>0</v>
      </c>
      <c r="R13" s="14">
        <f t="shared" si="2"/>
        <v>18.4</v>
      </c>
      <c r="S13" s="14">
        <f t="shared" si="3"/>
        <v>25.1466666666667</v>
      </c>
      <c r="T13" s="1" t="e">
        <v>#VALUE!</v>
      </c>
      <c r="U13" t="s">
        <v>72</v>
      </c>
      <c r="V13" s="1" t="e">
        <f t="shared" si="4"/>
        <v>#VALUE!</v>
      </c>
      <c r="W13" t="s">
        <v>73</v>
      </c>
    </row>
    <row r="14" spans="1:23">
      <c r="A14" t="s">
        <v>74</v>
      </c>
      <c r="B14">
        <v>57</v>
      </c>
      <c r="C14">
        <v>62</v>
      </c>
      <c r="D14">
        <v>52</v>
      </c>
      <c r="E14">
        <v>57</v>
      </c>
      <c r="F14">
        <v>0</v>
      </c>
      <c r="G14">
        <v>0</v>
      </c>
      <c r="H14" s="14">
        <f t="shared" si="0"/>
        <v>38</v>
      </c>
      <c r="I14">
        <v>66</v>
      </c>
      <c r="J14">
        <v>50</v>
      </c>
      <c r="K14">
        <v>0</v>
      </c>
      <c r="L14" s="1">
        <f t="shared" si="1"/>
        <v>38.6666666666667</v>
      </c>
      <c r="M14">
        <v>0</v>
      </c>
      <c r="N14">
        <v>40</v>
      </c>
      <c r="O14">
        <v>0</v>
      </c>
      <c r="P14">
        <v>0</v>
      </c>
      <c r="Q14">
        <v>0</v>
      </c>
      <c r="R14" s="14">
        <f t="shared" si="2"/>
        <v>8</v>
      </c>
      <c r="S14" s="14">
        <f t="shared" si="3"/>
        <v>17.0666666666667</v>
      </c>
      <c r="T14" s="1">
        <v>10.5</v>
      </c>
      <c r="U14">
        <v>48</v>
      </c>
      <c r="V14" s="1">
        <f t="shared" si="4"/>
        <v>21.94</v>
      </c>
      <c r="W14" t="s">
        <v>75</v>
      </c>
    </row>
    <row r="15" spans="1:23">
      <c r="A15" t="s">
        <v>76</v>
      </c>
      <c r="B15">
        <v>57</v>
      </c>
      <c r="C15">
        <v>61</v>
      </c>
      <c r="D15">
        <v>62</v>
      </c>
      <c r="E15">
        <v>71</v>
      </c>
      <c r="F15">
        <v>60</v>
      </c>
      <c r="G15">
        <v>40</v>
      </c>
      <c r="H15" s="14">
        <f t="shared" si="0"/>
        <v>58.5</v>
      </c>
      <c r="I15">
        <v>93</v>
      </c>
      <c r="J15">
        <v>50</v>
      </c>
      <c r="K15">
        <v>55</v>
      </c>
      <c r="L15" s="1">
        <f t="shared" si="1"/>
        <v>66</v>
      </c>
      <c r="M15">
        <v>70</v>
      </c>
      <c r="N15">
        <v>78</v>
      </c>
      <c r="O15">
        <v>60</v>
      </c>
      <c r="P15">
        <v>65</v>
      </c>
      <c r="Q15">
        <v>70</v>
      </c>
      <c r="R15" s="14">
        <f t="shared" si="2"/>
        <v>68.6</v>
      </c>
      <c r="S15" s="14">
        <f t="shared" si="3"/>
        <v>66.32</v>
      </c>
      <c r="T15" s="1">
        <v>34.5</v>
      </c>
      <c r="U15">
        <v>56</v>
      </c>
      <c r="V15" s="1">
        <f t="shared" si="4"/>
        <v>57.892</v>
      </c>
      <c r="W15" t="s">
        <v>19</v>
      </c>
    </row>
    <row r="16" spans="1:23">
      <c r="A16" t="s">
        <v>77</v>
      </c>
      <c r="B16">
        <v>51</v>
      </c>
      <c r="C16">
        <v>66</v>
      </c>
      <c r="D16">
        <v>50</v>
      </c>
      <c r="E16">
        <v>57</v>
      </c>
      <c r="F16">
        <v>65</v>
      </c>
      <c r="G16">
        <v>70</v>
      </c>
      <c r="H16" s="14">
        <f t="shared" si="0"/>
        <v>59.8333333333333</v>
      </c>
      <c r="I16">
        <v>93</v>
      </c>
      <c r="J16">
        <v>50</v>
      </c>
      <c r="K16">
        <v>70</v>
      </c>
      <c r="L16" s="1">
        <f t="shared" si="1"/>
        <v>71</v>
      </c>
      <c r="M16">
        <v>0</v>
      </c>
      <c r="N16">
        <v>82</v>
      </c>
      <c r="O16">
        <v>55</v>
      </c>
      <c r="P16">
        <v>68</v>
      </c>
      <c r="Q16">
        <v>68</v>
      </c>
      <c r="R16" s="14">
        <f t="shared" si="2"/>
        <v>54.6</v>
      </c>
      <c r="S16" s="14">
        <f t="shared" si="3"/>
        <v>57.2866666666667</v>
      </c>
      <c r="T16" s="1">
        <v>22.5</v>
      </c>
      <c r="U16">
        <v>64</v>
      </c>
      <c r="V16" s="1">
        <f t="shared" si="4"/>
        <v>51.672</v>
      </c>
      <c r="W16" t="s">
        <v>19</v>
      </c>
    </row>
    <row r="19" spans="7:22">
      <c r="H19" s="14"/>
      <c r="L19" s="1"/>
      <c r="R19" s="14"/>
      <c r="S19" s="14"/>
      <c r="T19" s="1"/>
      <c r="V19" s="1"/>
    </row>
    <row r="21" spans="7:22">
      <c r="G21" t="s">
        <v>78</v>
      </c>
    </row>
  </sheetData>
  <pageMargins left="0.7" right="0.7" top="0.75" bottom="0.75" header="0.3" footer="0.3"/>
  <pageSetup paperSize="9" scale="88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7"/>
  <sheetViews>
    <sheetView workbookViewId="0">
      <selection activeCell="S19" sqref="S19"/>
    </sheetView>
  </sheetViews>
  <sheetFormatPr defaultColWidth="9" defaultRowHeight="15"/>
  <cols>
    <col min="1" max="1" width="27.3333333333333" customWidth="1"/>
    <col min="2" max="4" width="4.88571428571429" customWidth="1"/>
    <col min="5" max="5" width="5.21904761904762" customWidth="1"/>
    <col min="6" max="6" width="5.33333333333333" customWidth="1"/>
    <col min="7" max="8" width="5.1047619047619" customWidth="1"/>
    <col min="9" max="9" width="6.33333333333333" customWidth="1"/>
    <col min="10" max="13" width="5" customWidth="1"/>
    <col min="14" max="14" width="6.33333333333333" customWidth="1"/>
    <col min="15" max="15" width="5.78095238095238" customWidth="1"/>
    <col min="16" max="16" width="8.43809523809524" customWidth="1"/>
    <col min="17" max="17" width="8.33333333333333" customWidth="1"/>
    <col min="18" max="18" width="6.33333333333333" customWidth="1"/>
    <col min="19" max="19" width="11.2190476190476" customWidth="1"/>
  </cols>
  <sheetData>
    <row r="1" spans="1:19">
      <c r="A1" t="s">
        <v>79</v>
      </c>
      <c r="B1" t="s">
        <v>39</v>
      </c>
      <c r="C1" t="s">
        <v>40</v>
      </c>
      <c r="D1" t="s">
        <v>41</v>
      </c>
      <c r="E1" t="s">
        <v>42</v>
      </c>
      <c r="F1" s="13" t="s">
        <v>45</v>
      </c>
      <c r="G1" t="s">
        <v>46</v>
      </c>
      <c r="H1" t="s">
        <v>47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55</v>
      </c>
      <c r="O1" t="s">
        <v>10</v>
      </c>
      <c r="P1" t="s">
        <v>57</v>
      </c>
      <c r="Q1" t="s">
        <v>80</v>
      </c>
      <c r="R1" t="s">
        <v>13</v>
      </c>
      <c r="S1" t="s">
        <v>58</v>
      </c>
    </row>
    <row r="2" spans="1:19">
      <c r="A2" t="s">
        <v>81</v>
      </c>
      <c r="B2">
        <v>44</v>
      </c>
      <c r="C2">
        <v>38</v>
      </c>
      <c r="D2">
        <v>36</v>
      </c>
      <c r="E2">
        <v>70</v>
      </c>
      <c r="F2" s="9">
        <f>((B2+C2+D2+E2)/4)</f>
        <v>47</v>
      </c>
      <c r="G2">
        <v>40</v>
      </c>
      <c r="H2">
        <v>70</v>
      </c>
      <c r="I2" s="13">
        <f>((G2+H2)/2)</f>
        <v>55</v>
      </c>
      <c r="J2">
        <v>59</v>
      </c>
      <c r="K2">
        <v>51</v>
      </c>
      <c r="L2">
        <v>61</v>
      </c>
      <c r="M2">
        <v>46</v>
      </c>
      <c r="N2" s="14">
        <f>(J2+K2+L2+M2)/4</f>
        <v>54.25</v>
      </c>
      <c r="O2" s="1">
        <f>((F2*0.2)+(I2*0.1)+(N2*0.7))</f>
        <v>52.875</v>
      </c>
      <c r="P2" t="s">
        <v>82</v>
      </c>
      <c r="Q2" s="1">
        <v>41.5</v>
      </c>
      <c r="R2" t="s">
        <v>83</v>
      </c>
    </row>
    <row r="3" spans="1:19">
      <c r="A3" t="s">
        <v>84</v>
      </c>
      <c r="B3">
        <v>86</v>
      </c>
      <c r="C3">
        <v>64</v>
      </c>
      <c r="D3">
        <v>80</v>
      </c>
      <c r="E3">
        <v>70</v>
      </c>
      <c r="F3" s="9">
        <f t="shared" ref="F3:F23" si="0">((B3+C3+D3+E3)/4)</f>
        <v>75</v>
      </c>
      <c r="G3">
        <v>70</v>
      </c>
      <c r="H3">
        <v>65</v>
      </c>
      <c r="I3" s="13">
        <f t="shared" ref="I3:I23" si="1">((G3+H3)/2)</f>
        <v>67.5</v>
      </c>
      <c r="J3">
        <v>72</v>
      </c>
      <c r="K3">
        <v>61</v>
      </c>
      <c r="L3">
        <v>65</v>
      </c>
      <c r="M3">
        <v>71</v>
      </c>
      <c r="N3" s="14">
        <f t="shared" ref="N3:N23" si="2">(J3+K3+L3+M3)/4</f>
        <v>67.25</v>
      </c>
      <c r="O3" s="1">
        <f t="shared" ref="O3:O23" si="3">((F3*0.2)+(I3*0.1)+(N3*0.7))</f>
        <v>68.825</v>
      </c>
      <c r="P3">
        <v>90</v>
      </c>
      <c r="Q3" s="1">
        <v>65</v>
      </c>
      <c r="R3" s="1">
        <f>((O3*0.6)+(P3*0.2)+(Q3*0.2))</f>
        <v>72.295</v>
      </c>
      <c r="S3" t="s">
        <v>17</v>
      </c>
    </row>
    <row r="4" spans="1:19">
      <c r="A4" t="s">
        <v>85</v>
      </c>
      <c r="B4">
        <v>55</v>
      </c>
      <c r="C4">
        <v>45</v>
      </c>
      <c r="D4">
        <v>49</v>
      </c>
      <c r="E4">
        <v>57</v>
      </c>
      <c r="F4" s="9">
        <f t="shared" si="0"/>
        <v>51.5</v>
      </c>
      <c r="G4">
        <v>90</v>
      </c>
      <c r="H4">
        <v>65</v>
      </c>
      <c r="I4" s="13">
        <f t="shared" si="1"/>
        <v>77.5</v>
      </c>
      <c r="J4">
        <v>71</v>
      </c>
      <c r="K4">
        <v>75</v>
      </c>
      <c r="L4">
        <v>66</v>
      </c>
      <c r="M4">
        <v>64</v>
      </c>
      <c r="N4" s="14">
        <f t="shared" si="2"/>
        <v>69</v>
      </c>
      <c r="O4" s="1">
        <f t="shared" si="3"/>
        <v>66.35</v>
      </c>
      <c r="P4">
        <v>58</v>
      </c>
      <c r="Q4" s="1">
        <v>53.5</v>
      </c>
      <c r="R4" s="1">
        <f t="shared" ref="R4:R23" si="4">((O4*0.6)+(P4*0.2)+(Q4*0.2))</f>
        <v>62.11</v>
      </c>
      <c r="S4" t="s">
        <v>17</v>
      </c>
    </row>
    <row r="5" spans="1:19">
      <c r="A5" t="s">
        <v>86</v>
      </c>
      <c r="B5">
        <v>80</v>
      </c>
      <c r="C5">
        <v>59</v>
      </c>
      <c r="D5">
        <v>76</v>
      </c>
      <c r="E5">
        <v>63</v>
      </c>
      <c r="F5" s="9">
        <f t="shared" si="0"/>
        <v>69.5</v>
      </c>
      <c r="G5">
        <v>60</v>
      </c>
      <c r="H5">
        <v>70</v>
      </c>
      <c r="I5" s="13">
        <f t="shared" si="1"/>
        <v>65</v>
      </c>
      <c r="J5">
        <v>65</v>
      </c>
      <c r="K5">
        <v>59</v>
      </c>
      <c r="L5">
        <v>80</v>
      </c>
      <c r="M5">
        <v>78</v>
      </c>
      <c r="N5" s="14">
        <f t="shared" si="2"/>
        <v>70.5</v>
      </c>
      <c r="O5" s="1">
        <f t="shared" si="3"/>
        <v>69.75</v>
      </c>
      <c r="P5">
        <v>80</v>
      </c>
      <c r="Q5" s="1">
        <v>72</v>
      </c>
      <c r="R5" s="1">
        <f t="shared" si="4"/>
        <v>72.25</v>
      </c>
      <c r="S5" t="s">
        <v>17</v>
      </c>
    </row>
    <row r="6" spans="1:19">
      <c r="A6" t="s">
        <v>87</v>
      </c>
      <c r="B6">
        <v>81</v>
      </c>
      <c r="C6">
        <v>56</v>
      </c>
      <c r="D6">
        <v>80</v>
      </c>
      <c r="E6">
        <v>70</v>
      </c>
      <c r="F6" s="9">
        <f t="shared" si="0"/>
        <v>71.75</v>
      </c>
      <c r="G6">
        <v>60</v>
      </c>
      <c r="H6">
        <v>65</v>
      </c>
      <c r="I6" s="13">
        <f t="shared" si="1"/>
        <v>62.5</v>
      </c>
      <c r="J6">
        <v>64</v>
      </c>
      <c r="K6">
        <v>0</v>
      </c>
      <c r="L6">
        <v>54</v>
      </c>
      <c r="M6">
        <v>70</v>
      </c>
      <c r="N6" s="14">
        <f t="shared" si="2"/>
        <v>47</v>
      </c>
      <c r="O6" s="1">
        <f t="shared" si="3"/>
        <v>53.5</v>
      </c>
      <c r="P6">
        <v>75</v>
      </c>
      <c r="Q6" s="1">
        <v>81.5</v>
      </c>
      <c r="R6" s="1">
        <f t="shared" si="4"/>
        <v>63.4</v>
      </c>
      <c r="S6" t="s">
        <v>17</v>
      </c>
    </row>
    <row r="7" spans="1:19">
      <c r="A7" t="s">
        <v>88</v>
      </c>
      <c r="B7">
        <v>46</v>
      </c>
      <c r="C7">
        <v>34</v>
      </c>
      <c r="D7">
        <v>66</v>
      </c>
      <c r="E7">
        <v>70</v>
      </c>
      <c r="F7" s="9">
        <f t="shared" si="0"/>
        <v>54</v>
      </c>
      <c r="G7">
        <v>80</v>
      </c>
      <c r="H7">
        <v>70</v>
      </c>
      <c r="I7" s="13">
        <f t="shared" si="1"/>
        <v>75</v>
      </c>
      <c r="J7">
        <v>68</v>
      </c>
      <c r="K7">
        <v>57</v>
      </c>
      <c r="L7">
        <v>62</v>
      </c>
      <c r="M7">
        <v>63</v>
      </c>
      <c r="N7" s="14">
        <f t="shared" si="2"/>
        <v>62.5</v>
      </c>
      <c r="O7" s="1">
        <f t="shared" si="3"/>
        <v>62.05</v>
      </c>
      <c r="P7">
        <v>51</v>
      </c>
      <c r="Q7" s="1">
        <v>53.5</v>
      </c>
      <c r="R7" s="1">
        <f t="shared" si="4"/>
        <v>58.13</v>
      </c>
      <c r="S7" t="s">
        <v>19</v>
      </c>
    </row>
    <row r="8" spans="1:19">
      <c r="A8" t="s">
        <v>89</v>
      </c>
      <c r="B8">
        <v>76</v>
      </c>
      <c r="C8">
        <v>58</v>
      </c>
      <c r="D8">
        <v>50</v>
      </c>
      <c r="E8">
        <v>63</v>
      </c>
      <c r="F8" s="9">
        <f t="shared" si="0"/>
        <v>61.75</v>
      </c>
      <c r="G8">
        <v>50</v>
      </c>
      <c r="H8">
        <v>70</v>
      </c>
      <c r="I8" s="13">
        <f t="shared" si="1"/>
        <v>60</v>
      </c>
      <c r="J8">
        <v>69</v>
      </c>
      <c r="K8">
        <v>48</v>
      </c>
      <c r="L8">
        <v>60</v>
      </c>
      <c r="M8">
        <v>62</v>
      </c>
      <c r="N8" s="14">
        <f t="shared" si="2"/>
        <v>59.75</v>
      </c>
      <c r="O8" s="1">
        <f t="shared" si="3"/>
        <v>60.175</v>
      </c>
      <c r="P8">
        <v>57</v>
      </c>
      <c r="Q8" s="1">
        <v>60.5</v>
      </c>
      <c r="R8" s="1">
        <f t="shared" si="4"/>
        <v>59.605</v>
      </c>
      <c r="S8" t="s">
        <v>17</v>
      </c>
    </row>
    <row r="9" spans="1:19">
      <c r="A9" t="s">
        <v>90</v>
      </c>
      <c r="B9">
        <v>66</v>
      </c>
      <c r="C9">
        <v>55</v>
      </c>
      <c r="D9">
        <v>62</v>
      </c>
      <c r="E9">
        <v>57</v>
      </c>
      <c r="F9" s="9">
        <f t="shared" si="0"/>
        <v>60</v>
      </c>
      <c r="G9">
        <v>50</v>
      </c>
      <c r="H9">
        <v>65</v>
      </c>
      <c r="I9" s="13">
        <f t="shared" si="1"/>
        <v>57.5</v>
      </c>
      <c r="J9">
        <v>64</v>
      </c>
      <c r="K9">
        <v>67</v>
      </c>
      <c r="L9">
        <v>60</v>
      </c>
      <c r="M9">
        <v>58</v>
      </c>
      <c r="N9" s="14">
        <f t="shared" si="2"/>
        <v>62.25</v>
      </c>
      <c r="O9" s="1">
        <f t="shared" si="3"/>
        <v>61.325</v>
      </c>
      <c r="P9">
        <v>70</v>
      </c>
      <c r="Q9" s="1">
        <v>49</v>
      </c>
      <c r="R9" s="1">
        <f t="shared" si="4"/>
        <v>60.595</v>
      </c>
      <c r="S9" t="s">
        <v>17</v>
      </c>
    </row>
    <row r="10" spans="1:19">
      <c r="A10" t="s">
        <v>91</v>
      </c>
      <c r="B10">
        <v>68</v>
      </c>
      <c r="C10">
        <v>42</v>
      </c>
      <c r="D10">
        <v>68</v>
      </c>
      <c r="E10">
        <v>63</v>
      </c>
      <c r="F10" s="9">
        <f t="shared" si="0"/>
        <v>60.25</v>
      </c>
      <c r="G10">
        <v>40</v>
      </c>
      <c r="H10">
        <v>65</v>
      </c>
      <c r="I10" s="13">
        <f t="shared" si="1"/>
        <v>52.5</v>
      </c>
      <c r="J10">
        <v>73</v>
      </c>
      <c r="K10">
        <v>59</v>
      </c>
      <c r="L10">
        <v>68</v>
      </c>
      <c r="M10">
        <v>49</v>
      </c>
      <c r="N10" s="14">
        <f t="shared" si="2"/>
        <v>62.25</v>
      </c>
      <c r="O10" s="1">
        <f t="shared" si="3"/>
        <v>60.875</v>
      </c>
      <c r="P10">
        <v>52</v>
      </c>
      <c r="Q10" s="1">
        <v>51.5</v>
      </c>
      <c r="R10" s="1">
        <f t="shared" si="4"/>
        <v>57.225</v>
      </c>
      <c r="S10" t="s">
        <v>19</v>
      </c>
    </row>
    <row r="11" spans="1:19">
      <c r="A11" t="s">
        <v>92</v>
      </c>
      <c r="B11">
        <v>71</v>
      </c>
      <c r="C11">
        <v>41</v>
      </c>
      <c r="D11">
        <v>60</v>
      </c>
      <c r="E11">
        <v>70</v>
      </c>
      <c r="F11" s="9">
        <f t="shared" si="0"/>
        <v>60.5</v>
      </c>
      <c r="G11">
        <v>30</v>
      </c>
      <c r="H11">
        <v>70</v>
      </c>
      <c r="I11" s="13">
        <f t="shared" si="1"/>
        <v>50</v>
      </c>
      <c r="J11">
        <v>69</v>
      </c>
      <c r="K11">
        <v>81</v>
      </c>
      <c r="L11">
        <v>82</v>
      </c>
      <c r="M11">
        <v>83</v>
      </c>
      <c r="N11" s="14">
        <f t="shared" si="2"/>
        <v>78.75</v>
      </c>
      <c r="O11" s="1">
        <f t="shared" si="3"/>
        <v>72.225</v>
      </c>
      <c r="P11">
        <v>58</v>
      </c>
      <c r="Q11" s="1">
        <v>30.5</v>
      </c>
      <c r="R11" s="1">
        <f t="shared" si="4"/>
        <v>61.035</v>
      </c>
      <c r="S11" t="s">
        <v>17</v>
      </c>
    </row>
    <row r="12" spans="1:19">
      <c r="A12" t="s">
        <v>93</v>
      </c>
      <c r="B12">
        <v>65</v>
      </c>
      <c r="C12">
        <v>51</v>
      </c>
      <c r="D12">
        <v>59</v>
      </c>
      <c r="E12">
        <v>70</v>
      </c>
      <c r="F12" s="9">
        <f t="shared" si="0"/>
        <v>61.25</v>
      </c>
      <c r="G12">
        <v>60</v>
      </c>
      <c r="H12">
        <v>70</v>
      </c>
      <c r="I12" s="13">
        <f t="shared" si="1"/>
        <v>65</v>
      </c>
      <c r="J12">
        <v>41</v>
      </c>
      <c r="K12">
        <v>52</v>
      </c>
      <c r="L12">
        <v>51</v>
      </c>
      <c r="M12">
        <v>54</v>
      </c>
      <c r="N12" s="14">
        <f t="shared" si="2"/>
        <v>49.5</v>
      </c>
      <c r="O12" s="1">
        <f t="shared" si="3"/>
        <v>53.4</v>
      </c>
      <c r="P12">
        <v>47</v>
      </c>
      <c r="Q12" s="1">
        <v>56.5</v>
      </c>
      <c r="R12" s="1">
        <f t="shared" si="4"/>
        <v>52.74</v>
      </c>
      <c r="S12" t="s">
        <v>19</v>
      </c>
    </row>
    <row r="13" spans="1:19">
      <c r="A13" t="s">
        <v>94</v>
      </c>
      <c r="B13">
        <v>59</v>
      </c>
      <c r="C13">
        <v>66</v>
      </c>
      <c r="D13">
        <v>45</v>
      </c>
      <c r="E13">
        <v>63</v>
      </c>
      <c r="F13" s="9">
        <f t="shared" si="0"/>
        <v>58.25</v>
      </c>
      <c r="G13">
        <v>70</v>
      </c>
      <c r="H13">
        <v>65</v>
      </c>
      <c r="I13" s="13">
        <f t="shared" si="1"/>
        <v>67.5</v>
      </c>
      <c r="J13">
        <v>73</v>
      </c>
      <c r="K13">
        <v>60</v>
      </c>
      <c r="L13">
        <v>54</v>
      </c>
      <c r="M13">
        <v>56</v>
      </c>
      <c r="N13" s="14">
        <f t="shared" si="2"/>
        <v>60.75</v>
      </c>
      <c r="O13" s="1">
        <f t="shared" si="3"/>
        <v>60.925</v>
      </c>
      <c r="P13">
        <v>51</v>
      </c>
      <c r="Q13" s="1">
        <v>64</v>
      </c>
      <c r="R13" s="1">
        <f t="shared" si="4"/>
        <v>59.555</v>
      </c>
      <c r="S13" t="s">
        <v>17</v>
      </c>
    </row>
    <row r="14" spans="1:19">
      <c r="A14" t="s">
        <v>95</v>
      </c>
      <c r="B14">
        <v>57</v>
      </c>
      <c r="C14">
        <v>54</v>
      </c>
      <c r="D14">
        <v>51</v>
      </c>
      <c r="E14">
        <v>56</v>
      </c>
      <c r="F14" s="9">
        <f t="shared" si="0"/>
        <v>54.5</v>
      </c>
      <c r="G14">
        <v>30</v>
      </c>
      <c r="H14">
        <v>70</v>
      </c>
      <c r="I14" s="13">
        <f t="shared" si="1"/>
        <v>50</v>
      </c>
      <c r="J14">
        <v>67</v>
      </c>
      <c r="K14">
        <v>65</v>
      </c>
      <c r="L14">
        <v>59</v>
      </c>
      <c r="M14">
        <v>60</v>
      </c>
      <c r="N14" s="14">
        <f t="shared" si="2"/>
        <v>62.75</v>
      </c>
      <c r="O14" s="1">
        <f t="shared" si="3"/>
        <v>59.825</v>
      </c>
      <c r="P14">
        <v>39</v>
      </c>
      <c r="Q14" s="1">
        <v>43.5</v>
      </c>
      <c r="R14" s="1">
        <f t="shared" si="4"/>
        <v>52.395</v>
      </c>
      <c r="S14" t="s">
        <v>19</v>
      </c>
    </row>
    <row r="15" spans="1:19">
      <c r="A15" t="s">
        <v>96</v>
      </c>
      <c r="B15">
        <v>60</v>
      </c>
      <c r="C15">
        <v>38</v>
      </c>
      <c r="D15">
        <v>38</v>
      </c>
      <c r="E15">
        <v>70</v>
      </c>
      <c r="F15" s="9">
        <f t="shared" si="0"/>
        <v>51.5</v>
      </c>
      <c r="G15">
        <v>30</v>
      </c>
      <c r="H15">
        <v>65</v>
      </c>
      <c r="I15" s="13">
        <f t="shared" si="1"/>
        <v>47.5</v>
      </c>
      <c r="J15">
        <v>68</v>
      </c>
      <c r="K15">
        <v>55</v>
      </c>
      <c r="L15">
        <v>49</v>
      </c>
      <c r="M15">
        <v>43</v>
      </c>
      <c r="N15" s="14">
        <f t="shared" si="2"/>
        <v>53.75</v>
      </c>
      <c r="O15" s="1">
        <f t="shared" si="3"/>
        <v>52.675</v>
      </c>
      <c r="P15">
        <v>44</v>
      </c>
      <c r="Q15" s="1">
        <v>67.5</v>
      </c>
      <c r="R15" s="1">
        <f t="shared" si="4"/>
        <v>53.905</v>
      </c>
      <c r="S15" t="s">
        <v>19</v>
      </c>
    </row>
    <row r="16" spans="1:19">
      <c r="A16" t="s">
        <v>97</v>
      </c>
      <c r="B16">
        <v>70</v>
      </c>
      <c r="C16">
        <v>72</v>
      </c>
      <c r="D16">
        <v>74</v>
      </c>
      <c r="E16">
        <v>70</v>
      </c>
      <c r="F16" s="9">
        <f t="shared" si="0"/>
        <v>71.5</v>
      </c>
      <c r="G16">
        <v>50</v>
      </c>
      <c r="H16">
        <v>70</v>
      </c>
      <c r="I16" s="13">
        <f t="shared" si="1"/>
        <v>60</v>
      </c>
      <c r="J16">
        <v>68</v>
      </c>
      <c r="K16">
        <v>71</v>
      </c>
      <c r="L16">
        <v>60</v>
      </c>
      <c r="M16">
        <v>68</v>
      </c>
      <c r="N16" s="14">
        <f t="shared" si="2"/>
        <v>66.75</v>
      </c>
      <c r="O16" s="1">
        <f t="shared" si="3"/>
        <v>67.025</v>
      </c>
      <c r="P16">
        <v>76</v>
      </c>
      <c r="Q16" s="1">
        <v>59.5</v>
      </c>
      <c r="R16" s="1">
        <f t="shared" si="4"/>
        <v>67.315</v>
      </c>
      <c r="S16" t="s">
        <v>17</v>
      </c>
    </row>
    <row r="17" spans="1:19">
      <c r="A17" t="s">
        <v>98</v>
      </c>
      <c r="B17">
        <v>55</v>
      </c>
      <c r="C17">
        <v>46</v>
      </c>
      <c r="D17">
        <v>59</v>
      </c>
      <c r="E17">
        <v>57</v>
      </c>
      <c r="F17" s="9">
        <f t="shared" si="0"/>
        <v>54.25</v>
      </c>
      <c r="G17">
        <v>80</v>
      </c>
      <c r="H17">
        <v>65</v>
      </c>
      <c r="I17" s="13">
        <f t="shared" si="1"/>
        <v>72.5</v>
      </c>
      <c r="J17">
        <v>68</v>
      </c>
      <c r="K17">
        <v>59</v>
      </c>
      <c r="L17">
        <v>57</v>
      </c>
      <c r="M17">
        <v>62</v>
      </c>
      <c r="N17" s="14">
        <f t="shared" si="2"/>
        <v>61.5</v>
      </c>
      <c r="O17" s="1">
        <f t="shared" si="3"/>
        <v>61.15</v>
      </c>
      <c r="P17">
        <v>67</v>
      </c>
      <c r="Q17" s="1">
        <v>67.5</v>
      </c>
      <c r="R17" s="1">
        <f t="shared" si="4"/>
        <v>63.59</v>
      </c>
      <c r="S17" t="s">
        <v>17</v>
      </c>
    </row>
    <row r="18" spans="1:19">
      <c r="A18" t="s">
        <v>99</v>
      </c>
      <c r="B18">
        <v>78</v>
      </c>
      <c r="C18">
        <v>54</v>
      </c>
      <c r="D18">
        <v>75</v>
      </c>
      <c r="E18">
        <v>70</v>
      </c>
      <c r="F18" s="9">
        <f t="shared" si="0"/>
        <v>69.25</v>
      </c>
      <c r="G18">
        <v>40</v>
      </c>
      <c r="H18">
        <v>70</v>
      </c>
      <c r="I18" s="13">
        <f t="shared" si="1"/>
        <v>55</v>
      </c>
      <c r="J18">
        <v>91</v>
      </c>
      <c r="K18">
        <v>76</v>
      </c>
      <c r="L18">
        <v>78</v>
      </c>
      <c r="M18">
        <v>71</v>
      </c>
      <c r="N18" s="14">
        <f t="shared" si="2"/>
        <v>79</v>
      </c>
      <c r="O18" s="1">
        <f t="shared" si="3"/>
        <v>74.65</v>
      </c>
      <c r="P18">
        <v>80</v>
      </c>
      <c r="Q18" s="1">
        <v>65</v>
      </c>
      <c r="R18" s="1">
        <f t="shared" si="4"/>
        <v>73.79</v>
      </c>
      <c r="S18" t="s">
        <v>17</v>
      </c>
    </row>
    <row r="19" spans="1:19">
      <c r="A19" t="s">
        <v>100</v>
      </c>
      <c r="B19">
        <v>80</v>
      </c>
      <c r="C19">
        <v>52</v>
      </c>
      <c r="D19">
        <v>75</v>
      </c>
      <c r="E19">
        <v>70</v>
      </c>
      <c r="F19" s="9">
        <f t="shared" si="0"/>
        <v>69.25</v>
      </c>
      <c r="G19">
        <v>80</v>
      </c>
      <c r="H19">
        <v>65</v>
      </c>
      <c r="I19" s="13">
        <f t="shared" si="1"/>
        <v>72.5</v>
      </c>
      <c r="J19">
        <v>73</v>
      </c>
      <c r="K19">
        <v>72</v>
      </c>
      <c r="L19">
        <v>62</v>
      </c>
      <c r="M19">
        <v>91</v>
      </c>
      <c r="N19" s="14">
        <f t="shared" si="2"/>
        <v>74.5</v>
      </c>
      <c r="O19" s="1">
        <f t="shared" si="3"/>
        <v>73.25</v>
      </c>
      <c r="P19">
        <v>78</v>
      </c>
      <c r="Q19" s="1">
        <v>43.5</v>
      </c>
      <c r="R19" s="1">
        <f t="shared" si="4"/>
        <v>68.25</v>
      </c>
      <c r="S19" t="s">
        <v>17</v>
      </c>
    </row>
    <row r="20" spans="1:19">
      <c r="A20" t="s">
        <v>101</v>
      </c>
      <c r="B20">
        <v>81</v>
      </c>
      <c r="C20">
        <v>62</v>
      </c>
      <c r="D20">
        <v>90</v>
      </c>
      <c r="E20">
        <v>70</v>
      </c>
      <c r="F20" s="9">
        <f t="shared" si="0"/>
        <v>75.75</v>
      </c>
      <c r="G20">
        <v>80</v>
      </c>
      <c r="H20">
        <v>65</v>
      </c>
      <c r="I20" s="13">
        <f t="shared" si="1"/>
        <v>72.5</v>
      </c>
      <c r="J20">
        <v>75</v>
      </c>
      <c r="K20">
        <v>72</v>
      </c>
      <c r="L20">
        <v>85</v>
      </c>
      <c r="M20">
        <v>82</v>
      </c>
      <c r="N20" s="14">
        <f t="shared" si="2"/>
        <v>78.5</v>
      </c>
      <c r="O20" s="1">
        <f t="shared" si="3"/>
        <v>77.35</v>
      </c>
      <c r="P20">
        <v>90</v>
      </c>
      <c r="Q20" s="1">
        <v>79</v>
      </c>
      <c r="R20" s="1">
        <f t="shared" si="4"/>
        <v>80.21</v>
      </c>
      <c r="S20" t="s">
        <v>102</v>
      </c>
    </row>
    <row r="21" spans="1:19">
      <c r="A21" t="s">
        <v>103</v>
      </c>
      <c r="B21">
        <v>70</v>
      </c>
      <c r="C21">
        <v>50</v>
      </c>
      <c r="D21">
        <v>68</v>
      </c>
      <c r="E21">
        <v>70</v>
      </c>
      <c r="F21" s="9">
        <f t="shared" si="0"/>
        <v>64.5</v>
      </c>
      <c r="G21">
        <v>80</v>
      </c>
      <c r="H21">
        <v>70</v>
      </c>
      <c r="I21" s="13">
        <f t="shared" si="1"/>
        <v>75</v>
      </c>
      <c r="J21">
        <v>68</v>
      </c>
      <c r="K21">
        <v>65</v>
      </c>
      <c r="L21">
        <v>60</v>
      </c>
      <c r="M21">
        <v>67</v>
      </c>
      <c r="N21" s="14">
        <f t="shared" si="2"/>
        <v>65</v>
      </c>
      <c r="O21" s="1">
        <f t="shared" si="3"/>
        <v>65.9</v>
      </c>
      <c r="P21">
        <v>59</v>
      </c>
      <c r="Q21" s="1">
        <v>58</v>
      </c>
      <c r="R21" s="1">
        <f t="shared" si="4"/>
        <v>62.94</v>
      </c>
      <c r="S21" t="s">
        <v>17</v>
      </c>
    </row>
    <row r="22" spans="1:19">
      <c r="A22" t="s">
        <v>104</v>
      </c>
      <c r="B22">
        <v>52</v>
      </c>
      <c r="C22">
        <v>38</v>
      </c>
      <c r="D22">
        <v>58</v>
      </c>
      <c r="E22">
        <v>70</v>
      </c>
      <c r="F22" s="9">
        <f t="shared" si="0"/>
        <v>54.5</v>
      </c>
      <c r="G22">
        <v>60</v>
      </c>
      <c r="H22">
        <v>65</v>
      </c>
      <c r="I22" s="13">
        <f t="shared" si="1"/>
        <v>62.5</v>
      </c>
      <c r="J22">
        <v>64</v>
      </c>
      <c r="K22">
        <v>53</v>
      </c>
      <c r="L22">
        <v>56</v>
      </c>
      <c r="M22">
        <v>41</v>
      </c>
      <c r="N22" s="14">
        <f t="shared" si="2"/>
        <v>53.5</v>
      </c>
      <c r="O22" s="1">
        <f t="shared" si="3"/>
        <v>54.6</v>
      </c>
      <c r="P22">
        <v>48</v>
      </c>
      <c r="Q22" s="1">
        <v>53</v>
      </c>
      <c r="R22" s="1">
        <f t="shared" si="4"/>
        <v>52.96</v>
      </c>
      <c r="S22" t="s">
        <v>19</v>
      </c>
    </row>
    <row r="23" spans="1:19">
      <c r="A23" t="s">
        <v>105</v>
      </c>
      <c r="B23">
        <v>73</v>
      </c>
      <c r="C23">
        <v>65</v>
      </c>
      <c r="D23">
        <v>64</v>
      </c>
      <c r="E23">
        <v>70</v>
      </c>
      <c r="F23" s="9">
        <f t="shared" si="0"/>
        <v>68</v>
      </c>
      <c r="G23">
        <v>60</v>
      </c>
      <c r="H23">
        <v>70</v>
      </c>
      <c r="I23" s="13">
        <f t="shared" si="1"/>
        <v>65</v>
      </c>
      <c r="J23">
        <v>65</v>
      </c>
      <c r="K23">
        <v>61</v>
      </c>
      <c r="L23">
        <v>87</v>
      </c>
      <c r="M23">
        <v>74</v>
      </c>
      <c r="N23" s="14">
        <f t="shared" si="2"/>
        <v>71.75</v>
      </c>
      <c r="O23" s="1">
        <f t="shared" si="3"/>
        <v>70.325</v>
      </c>
      <c r="P23">
        <v>84</v>
      </c>
      <c r="Q23" s="1">
        <v>70.5</v>
      </c>
      <c r="R23" s="1">
        <f t="shared" si="4"/>
        <v>73.095</v>
      </c>
      <c r="S23" t="s">
        <v>106</v>
      </c>
    </row>
    <row r="27" spans="1:19">
      <c r="F27" t="s">
        <v>107</v>
      </c>
    </row>
  </sheetData>
  <pageMargins left="0.7" right="0.7" top="0.75" bottom="0.75" header="0.3" footer="0.3"/>
  <pageSetup paperSize="9" scale="96" fitToHeight="0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6"/>
  <sheetViews>
    <sheetView tabSelected="1" workbookViewId="0">
      <selection activeCell="I11" sqref="I11"/>
    </sheetView>
  </sheetViews>
  <sheetFormatPr defaultColWidth="9" defaultRowHeight="15"/>
  <cols>
    <col min="1" max="1" width="24.7809523809524" customWidth="1"/>
    <col min="2" max="16" width="10.8" customWidth="1"/>
  </cols>
  <sheetData>
    <row r="1" spans="1:16">
      <c r="A1" t="s">
        <v>108</v>
      </c>
      <c r="B1" t="s">
        <v>39</v>
      </c>
      <c r="C1" t="s">
        <v>40</v>
      </c>
      <c r="D1" t="s">
        <v>41</v>
      </c>
      <c r="E1" t="s">
        <v>45</v>
      </c>
      <c r="F1" t="s">
        <v>46</v>
      </c>
      <c r="G1" t="s">
        <v>49</v>
      </c>
      <c r="H1" t="s">
        <v>109</v>
      </c>
      <c r="I1" t="s">
        <v>110</v>
      </c>
      <c r="J1" t="s">
        <v>52</v>
      </c>
      <c r="K1" t="s">
        <v>55</v>
      </c>
      <c r="L1" t="s">
        <v>10</v>
      </c>
      <c r="M1" t="s">
        <v>11</v>
      </c>
      <c r="N1" t="s">
        <v>57</v>
      </c>
      <c r="O1" t="s">
        <v>13</v>
      </c>
      <c r="P1" t="s">
        <v>14</v>
      </c>
    </row>
    <row r="2" spans="1:16">
      <c r="A2" t="s">
        <v>111</v>
      </c>
      <c r="B2">
        <v>13</v>
      </c>
      <c r="C2">
        <v>35</v>
      </c>
      <c r="D2">
        <v>42</v>
      </c>
      <c r="E2" s="1">
        <f>((B2+C2+D2)/3)</f>
        <v>30</v>
      </c>
      <c r="F2">
        <v>65</v>
      </c>
      <c r="G2">
        <f>F2</f>
        <v>65</v>
      </c>
      <c r="H2">
        <v>50</v>
      </c>
      <c r="I2">
        <v>60</v>
      </c>
      <c r="J2">
        <v>50</v>
      </c>
      <c r="K2" s="1">
        <f>(H2+I2+J2)/3</f>
        <v>53.3333333333333</v>
      </c>
      <c r="L2" s="1">
        <f>((E2*0.2)+(G2*0.1)+(K2*0.7))</f>
        <v>49.8333333333333</v>
      </c>
      <c r="M2" s="1">
        <v>53.4</v>
      </c>
      <c r="N2">
        <v>33</v>
      </c>
      <c r="O2" s="1">
        <v>50</v>
      </c>
      <c r="P2" t="s">
        <v>19</v>
      </c>
    </row>
    <row r="3" spans="1:16">
      <c r="A3" t="s">
        <v>112</v>
      </c>
      <c r="B3">
        <v>60</v>
      </c>
      <c r="C3">
        <v>75</v>
      </c>
      <c r="D3">
        <v>79</v>
      </c>
      <c r="E3" s="1">
        <f t="shared" ref="E3:E24" si="0">((B3+C3+D3)/3)</f>
        <v>71.3333333333333</v>
      </c>
      <c r="F3">
        <v>60</v>
      </c>
      <c r="G3">
        <f t="shared" ref="G3:G24" si="1">F3</f>
        <v>60</v>
      </c>
      <c r="H3">
        <v>60</v>
      </c>
      <c r="I3">
        <v>65</v>
      </c>
      <c r="J3">
        <v>60</v>
      </c>
      <c r="K3" s="1">
        <f t="shared" ref="K3:K24" si="2">(H3+I3+J3)/3</f>
        <v>61.6666666666667</v>
      </c>
      <c r="L3" s="1">
        <f t="shared" ref="L3:L24" si="3">((E3*0.2)+(G3*0.1)+(K3*0.7))</f>
        <v>63.4333333333333</v>
      </c>
      <c r="M3" s="1">
        <v>72.2</v>
      </c>
      <c r="N3">
        <v>79</v>
      </c>
      <c r="O3" s="1">
        <f t="shared" ref="O3:O24" si="4">((L3*0.6)+(M3*0.2)+(N3*0.2))</f>
        <v>68.3</v>
      </c>
      <c r="P3" t="s">
        <v>17</v>
      </c>
    </row>
    <row r="4" spans="1:16">
      <c r="A4" t="s">
        <v>113</v>
      </c>
      <c r="B4">
        <v>63</v>
      </c>
      <c r="C4">
        <v>50</v>
      </c>
      <c r="D4">
        <v>63</v>
      </c>
      <c r="E4" s="1">
        <f t="shared" si="0"/>
        <v>58.6666666666667</v>
      </c>
      <c r="F4">
        <v>65</v>
      </c>
      <c r="G4">
        <f t="shared" si="1"/>
        <v>65</v>
      </c>
      <c r="H4">
        <v>65</v>
      </c>
      <c r="I4">
        <v>50</v>
      </c>
      <c r="J4">
        <v>70</v>
      </c>
      <c r="K4" s="1">
        <f t="shared" si="2"/>
        <v>61.6666666666667</v>
      </c>
      <c r="L4" s="1">
        <f t="shared" si="3"/>
        <v>61.4</v>
      </c>
      <c r="M4" s="1">
        <v>15.4</v>
      </c>
      <c r="N4">
        <v>50</v>
      </c>
      <c r="O4" s="1">
        <f t="shared" si="4"/>
        <v>49.92</v>
      </c>
      <c r="P4" t="s">
        <v>19</v>
      </c>
    </row>
    <row r="5" spans="1:16">
      <c r="A5" t="s">
        <v>114</v>
      </c>
      <c r="B5">
        <v>0</v>
      </c>
      <c r="C5">
        <v>0</v>
      </c>
      <c r="D5">
        <v>0</v>
      </c>
      <c r="E5" s="1">
        <f t="shared" si="0"/>
        <v>0</v>
      </c>
      <c r="F5">
        <v>60</v>
      </c>
      <c r="G5">
        <f t="shared" si="1"/>
        <v>60</v>
      </c>
      <c r="H5">
        <v>50</v>
      </c>
      <c r="I5">
        <v>65</v>
      </c>
      <c r="J5">
        <v>0</v>
      </c>
      <c r="K5" s="1">
        <f t="shared" si="2"/>
        <v>38.3333333333333</v>
      </c>
      <c r="L5" s="1">
        <f t="shared" si="3"/>
        <v>32.8333333333333</v>
      </c>
      <c r="M5" s="1">
        <v>37.8</v>
      </c>
      <c r="N5">
        <v>13</v>
      </c>
      <c r="O5" s="1">
        <f t="shared" si="4"/>
        <v>29.86</v>
      </c>
      <c r="P5" t="s">
        <v>63</v>
      </c>
    </row>
    <row r="6" spans="1:16">
      <c r="A6" t="s">
        <v>115</v>
      </c>
      <c r="B6">
        <v>23</v>
      </c>
      <c r="C6">
        <v>20</v>
      </c>
      <c r="D6">
        <v>84</v>
      </c>
      <c r="E6" s="1">
        <f t="shared" si="0"/>
        <v>42.3333333333333</v>
      </c>
      <c r="F6">
        <v>65</v>
      </c>
      <c r="G6">
        <f t="shared" si="1"/>
        <v>65</v>
      </c>
      <c r="H6">
        <v>65</v>
      </c>
      <c r="I6">
        <v>50</v>
      </c>
      <c r="J6">
        <v>60</v>
      </c>
      <c r="K6" s="1">
        <f t="shared" si="2"/>
        <v>58.3333333333333</v>
      </c>
      <c r="L6" s="1">
        <f t="shared" si="3"/>
        <v>55.8</v>
      </c>
      <c r="M6" s="1">
        <v>64.4</v>
      </c>
      <c r="N6">
        <v>82</v>
      </c>
      <c r="O6" s="1">
        <f t="shared" si="4"/>
        <v>62.76</v>
      </c>
      <c r="P6" t="s">
        <v>17</v>
      </c>
    </row>
    <row r="7" spans="1:16">
      <c r="A7" t="s">
        <v>116</v>
      </c>
      <c r="B7">
        <v>43</v>
      </c>
      <c r="C7">
        <v>50</v>
      </c>
      <c r="D7">
        <v>74</v>
      </c>
      <c r="E7" s="1">
        <f t="shared" si="0"/>
        <v>55.6666666666667</v>
      </c>
      <c r="F7">
        <v>65</v>
      </c>
      <c r="G7">
        <f t="shared" si="1"/>
        <v>65</v>
      </c>
      <c r="H7">
        <v>50</v>
      </c>
      <c r="I7">
        <v>50</v>
      </c>
      <c r="J7">
        <v>65</v>
      </c>
      <c r="K7" s="1">
        <f t="shared" si="2"/>
        <v>55</v>
      </c>
      <c r="L7" s="1">
        <f t="shared" si="3"/>
        <v>56.1333333333333</v>
      </c>
      <c r="M7" s="1">
        <v>71.8</v>
      </c>
      <c r="N7">
        <v>92</v>
      </c>
      <c r="O7" s="1">
        <f t="shared" si="4"/>
        <v>66.44</v>
      </c>
      <c r="P7" t="s">
        <v>17</v>
      </c>
    </row>
    <row r="8" spans="1:16">
      <c r="A8" t="s">
        <v>117</v>
      </c>
      <c r="B8">
        <v>6</v>
      </c>
      <c r="C8">
        <v>25</v>
      </c>
      <c r="D8">
        <v>57</v>
      </c>
      <c r="E8" s="1">
        <f t="shared" si="0"/>
        <v>29.3333333333333</v>
      </c>
      <c r="F8">
        <v>65</v>
      </c>
      <c r="G8">
        <f t="shared" si="1"/>
        <v>65</v>
      </c>
      <c r="H8">
        <v>60</v>
      </c>
      <c r="I8">
        <v>65</v>
      </c>
      <c r="J8">
        <v>60</v>
      </c>
      <c r="K8" s="1">
        <f t="shared" si="2"/>
        <v>61.6666666666667</v>
      </c>
      <c r="L8" s="1">
        <f t="shared" si="3"/>
        <v>55.5333333333333</v>
      </c>
      <c r="M8" s="1">
        <v>66.4</v>
      </c>
      <c r="N8">
        <v>57</v>
      </c>
      <c r="O8" s="1">
        <f t="shared" si="4"/>
        <v>58</v>
      </c>
      <c r="P8" t="s">
        <v>19</v>
      </c>
    </row>
    <row r="9" spans="1:16">
      <c r="A9" t="s">
        <v>118</v>
      </c>
      <c r="B9">
        <v>36</v>
      </c>
      <c r="C9">
        <v>25</v>
      </c>
      <c r="D9">
        <v>0</v>
      </c>
      <c r="E9" s="1">
        <f t="shared" si="0"/>
        <v>20.3333333333333</v>
      </c>
      <c r="F9">
        <v>60</v>
      </c>
      <c r="G9">
        <f t="shared" si="1"/>
        <v>60</v>
      </c>
      <c r="H9">
        <v>60</v>
      </c>
      <c r="I9">
        <v>50</v>
      </c>
      <c r="J9">
        <v>0</v>
      </c>
      <c r="K9" s="1">
        <f t="shared" si="2"/>
        <v>36.6666666666667</v>
      </c>
      <c r="L9" s="1">
        <f t="shared" si="3"/>
        <v>35.7333333333333</v>
      </c>
      <c r="M9" s="1">
        <v>40.6</v>
      </c>
      <c r="N9">
        <v>17</v>
      </c>
      <c r="O9" s="1">
        <f t="shared" si="4"/>
        <v>32.96</v>
      </c>
      <c r="P9" t="s">
        <v>63</v>
      </c>
    </row>
    <row r="10" spans="1:16">
      <c r="A10" t="s">
        <v>119</v>
      </c>
      <c r="B10">
        <v>46</v>
      </c>
      <c r="C10">
        <v>0</v>
      </c>
      <c r="D10">
        <v>0</v>
      </c>
      <c r="E10" s="1">
        <f t="shared" si="0"/>
        <v>15.3333333333333</v>
      </c>
      <c r="F10">
        <v>0</v>
      </c>
      <c r="G10">
        <f t="shared" si="1"/>
        <v>0</v>
      </c>
      <c r="H10">
        <v>55</v>
      </c>
      <c r="I10">
        <v>60</v>
      </c>
      <c r="J10">
        <v>0</v>
      </c>
      <c r="K10" s="1">
        <f t="shared" si="2"/>
        <v>38.3333333333333</v>
      </c>
      <c r="L10" s="1">
        <f t="shared" si="3"/>
        <v>29.9</v>
      </c>
      <c r="M10" s="1">
        <v>50.8</v>
      </c>
      <c r="N10">
        <v>36</v>
      </c>
      <c r="O10" s="1">
        <f t="shared" si="4"/>
        <v>35.3</v>
      </c>
      <c r="P10" t="s">
        <v>63</v>
      </c>
    </row>
    <row r="11" spans="1:16">
      <c r="A11" t="s">
        <v>120</v>
      </c>
      <c r="B11">
        <v>70</v>
      </c>
      <c r="C11">
        <v>80</v>
      </c>
      <c r="D11">
        <v>74</v>
      </c>
      <c r="E11" s="1">
        <f t="shared" si="0"/>
        <v>74.6666666666667</v>
      </c>
      <c r="F11">
        <v>70</v>
      </c>
      <c r="G11">
        <f t="shared" si="1"/>
        <v>70</v>
      </c>
      <c r="H11">
        <v>65</v>
      </c>
      <c r="I11">
        <v>60</v>
      </c>
      <c r="J11">
        <v>0</v>
      </c>
      <c r="K11" s="1">
        <f t="shared" si="2"/>
        <v>41.6666666666667</v>
      </c>
      <c r="L11" s="1">
        <f t="shared" si="3"/>
        <v>51.1</v>
      </c>
      <c r="M11" s="1">
        <v>54.2</v>
      </c>
      <c r="N11">
        <v>62</v>
      </c>
      <c r="O11" s="1">
        <f t="shared" si="4"/>
        <v>53.9</v>
      </c>
      <c r="P11" t="s">
        <v>19</v>
      </c>
    </row>
    <row r="12" spans="1:16">
      <c r="A12" t="s">
        <v>121</v>
      </c>
      <c r="B12">
        <v>53</v>
      </c>
      <c r="C12">
        <v>50</v>
      </c>
      <c r="D12">
        <v>79</v>
      </c>
      <c r="E12" s="1">
        <f t="shared" si="0"/>
        <v>60.6666666666667</v>
      </c>
      <c r="F12">
        <v>60</v>
      </c>
      <c r="G12">
        <f t="shared" si="1"/>
        <v>60</v>
      </c>
      <c r="H12">
        <v>55</v>
      </c>
      <c r="I12">
        <v>65</v>
      </c>
      <c r="J12">
        <v>60</v>
      </c>
      <c r="K12" s="1">
        <f t="shared" si="2"/>
        <v>60</v>
      </c>
      <c r="L12" s="1">
        <f t="shared" si="3"/>
        <v>60.1333333333333</v>
      </c>
      <c r="M12" s="1">
        <v>61</v>
      </c>
      <c r="N12">
        <v>50</v>
      </c>
      <c r="O12" s="1">
        <f t="shared" si="4"/>
        <v>58.28</v>
      </c>
      <c r="P12" t="s">
        <v>19</v>
      </c>
    </row>
    <row r="13" spans="1:16">
      <c r="A13" t="s">
        <v>122</v>
      </c>
      <c r="B13">
        <v>83</v>
      </c>
      <c r="C13">
        <v>75</v>
      </c>
      <c r="D13">
        <v>79</v>
      </c>
      <c r="E13" s="1">
        <f t="shared" si="0"/>
        <v>79</v>
      </c>
      <c r="F13">
        <v>65</v>
      </c>
      <c r="G13">
        <f t="shared" si="1"/>
        <v>65</v>
      </c>
      <c r="H13">
        <v>60</v>
      </c>
      <c r="I13">
        <v>55</v>
      </c>
      <c r="J13">
        <v>55</v>
      </c>
      <c r="K13" s="1">
        <f t="shared" si="2"/>
        <v>56.6666666666667</v>
      </c>
      <c r="L13" s="1">
        <f t="shared" si="3"/>
        <v>61.9666666666667</v>
      </c>
      <c r="M13" s="1">
        <v>77.6</v>
      </c>
      <c r="N13">
        <v>76</v>
      </c>
      <c r="O13" s="1">
        <f t="shared" si="4"/>
        <v>67.9</v>
      </c>
      <c r="P13" t="s">
        <v>17</v>
      </c>
    </row>
    <row r="14" spans="1:16">
      <c r="A14" t="s">
        <v>123</v>
      </c>
      <c r="B14">
        <v>50</v>
      </c>
      <c r="C14">
        <v>55</v>
      </c>
      <c r="D14">
        <v>53</v>
      </c>
      <c r="E14" s="1">
        <f t="shared" si="0"/>
        <v>52.6666666666667</v>
      </c>
      <c r="F14">
        <v>60</v>
      </c>
      <c r="G14">
        <f t="shared" si="1"/>
        <v>60</v>
      </c>
      <c r="H14">
        <v>65</v>
      </c>
      <c r="I14">
        <v>60</v>
      </c>
      <c r="J14">
        <v>70</v>
      </c>
      <c r="K14" s="1">
        <f t="shared" si="2"/>
        <v>65</v>
      </c>
      <c r="L14" s="1">
        <f t="shared" si="3"/>
        <v>62.0333333333333</v>
      </c>
      <c r="M14" s="1">
        <v>43.6</v>
      </c>
      <c r="N14">
        <v>60</v>
      </c>
      <c r="O14" s="1">
        <f t="shared" si="4"/>
        <v>57.94</v>
      </c>
      <c r="P14" t="s">
        <v>19</v>
      </c>
    </row>
    <row r="15" spans="1:16">
      <c r="A15" t="s">
        <v>124</v>
      </c>
      <c r="B15">
        <v>0</v>
      </c>
      <c r="C15">
        <v>0</v>
      </c>
      <c r="D15">
        <v>47</v>
      </c>
      <c r="E15" s="1">
        <f t="shared" si="0"/>
        <v>15.6666666666667</v>
      </c>
      <c r="F15">
        <v>0</v>
      </c>
      <c r="G15">
        <f t="shared" si="1"/>
        <v>0</v>
      </c>
      <c r="H15">
        <v>55</v>
      </c>
      <c r="I15">
        <v>0</v>
      </c>
      <c r="J15">
        <v>0</v>
      </c>
      <c r="K15" s="1">
        <f t="shared" si="2"/>
        <v>18.3333333333333</v>
      </c>
      <c r="L15" s="1">
        <f t="shared" si="3"/>
        <v>15.9666666666667</v>
      </c>
      <c r="M15" s="1">
        <v>5.2</v>
      </c>
      <c r="N15">
        <v>18</v>
      </c>
      <c r="O15" s="1">
        <f t="shared" si="4"/>
        <v>14.22</v>
      </c>
      <c r="P15" t="s">
        <v>63</v>
      </c>
    </row>
    <row r="16" spans="1:16">
      <c r="A16" t="s">
        <v>125</v>
      </c>
      <c r="B16">
        <v>63</v>
      </c>
      <c r="C16">
        <v>50</v>
      </c>
      <c r="D16">
        <v>81</v>
      </c>
      <c r="E16" s="1">
        <f t="shared" si="0"/>
        <v>64.6666666666667</v>
      </c>
      <c r="F16">
        <v>65</v>
      </c>
      <c r="G16">
        <f t="shared" si="1"/>
        <v>65</v>
      </c>
      <c r="H16">
        <v>65</v>
      </c>
      <c r="I16">
        <v>60</v>
      </c>
      <c r="J16">
        <v>60</v>
      </c>
      <c r="K16" s="1">
        <f t="shared" si="2"/>
        <v>61.6666666666667</v>
      </c>
      <c r="L16" s="1">
        <f t="shared" si="3"/>
        <v>62.6</v>
      </c>
      <c r="M16" s="1">
        <v>57.8</v>
      </c>
      <c r="N16">
        <v>50</v>
      </c>
      <c r="O16" s="1">
        <f t="shared" si="4"/>
        <v>59.12</v>
      </c>
      <c r="P16" t="s">
        <v>19</v>
      </c>
    </row>
    <row r="17" spans="1:16">
      <c r="A17" t="s">
        <v>126</v>
      </c>
      <c r="B17">
        <v>16</v>
      </c>
      <c r="C17">
        <v>50</v>
      </c>
      <c r="D17">
        <v>50</v>
      </c>
      <c r="E17" s="1">
        <f t="shared" si="0"/>
        <v>38.6666666666667</v>
      </c>
      <c r="F17">
        <v>65</v>
      </c>
      <c r="G17">
        <f t="shared" si="1"/>
        <v>65</v>
      </c>
      <c r="H17">
        <v>65</v>
      </c>
      <c r="I17">
        <v>65</v>
      </c>
      <c r="J17">
        <v>60</v>
      </c>
      <c r="K17" s="1">
        <f t="shared" si="2"/>
        <v>63.3333333333333</v>
      </c>
      <c r="L17" s="1">
        <f t="shared" si="3"/>
        <v>58.5666666666667</v>
      </c>
      <c r="M17" s="1">
        <v>50.8</v>
      </c>
      <c r="N17">
        <v>50</v>
      </c>
      <c r="O17" s="1">
        <f t="shared" si="4"/>
        <v>55.3</v>
      </c>
      <c r="P17" t="s">
        <v>19</v>
      </c>
    </row>
    <row r="18" spans="1:16">
      <c r="A18" t="s">
        <v>127</v>
      </c>
      <c r="B18">
        <v>10</v>
      </c>
      <c r="C18">
        <v>0</v>
      </c>
      <c r="D18">
        <v>0</v>
      </c>
      <c r="E18" s="1">
        <f t="shared" si="0"/>
        <v>3.33333333333333</v>
      </c>
      <c r="F18">
        <v>0</v>
      </c>
      <c r="G18">
        <f t="shared" si="1"/>
        <v>0</v>
      </c>
      <c r="H18">
        <v>60</v>
      </c>
      <c r="I18">
        <v>65</v>
      </c>
      <c r="J18">
        <v>0</v>
      </c>
      <c r="K18" s="1">
        <f t="shared" si="2"/>
        <v>41.6666666666667</v>
      </c>
      <c r="L18" s="1">
        <f t="shared" si="3"/>
        <v>29.8333333333333</v>
      </c>
      <c r="M18" s="1">
        <v>59.4</v>
      </c>
      <c r="N18">
        <v>52</v>
      </c>
      <c r="O18" s="1">
        <f t="shared" si="4"/>
        <v>40.18</v>
      </c>
      <c r="P18" t="s">
        <v>63</v>
      </c>
    </row>
    <row r="19" spans="1:16">
      <c r="A19" t="s">
        <v>128</v>
      </c>
      <c r="B19">
        <v>16</v>
      </c>
      <c r="C19">
        <v>55</v>
      </c>
      <c r="D19">
        <v>68</v>
      </c>
      <c r="E19" s="1">
        <f t="shared" si="0"/>
        <v>46.3333333333333</v>
      </c>
      <c r="F19">
        <v>65</v>
      </c>
      <c r="G19">
        <f t="shared" si="1"/>
        <v>65</v>
      </c>
      <c r="H19">
        <v>60</v>
      </c>
      <c r="I19">
        <v>65</v>
      </c>
      <c r="J19">
        <v>70</v>
      </c>
      <c r="K19" s="1">
        <f t="shared" si="2"/>
        <v>65</v>
      </c>
      <c r="L19" s="1">
        <f t="shared" si="3"/>
        <v>61.2666666666667</v>
      </c>
      <c r="M19" s="1">
        <v>73.6</v>
      </c>
      <c r="N19">
        <v>86</v>
      </c>
      <c r="O19" s="1">
        <f t="shared" si="4"/>
        <v>68.68</v>
      </c>
      <c r="P19" t="s">
        <v>17</v>
      </c>
    </row>
    <row r="20" spans="1:16">
      <c r="A20" t="s">
        <v>129</v>
      </c>
      <c r="B20">
        <v>55</v>
      </c>
      <c r="C20">
        <v>50</v>
      </c>
      <c r="D20">
        <v>57</v>
      </c>
      <c r="E20" s="1">
        <f t="shared" si="0"/>
        <v>54</v>
      </c>
      <c r="F20">
        <v>60</v>
      </c>
      <c r="G20">
        <f t="shared" si="1"/>
        <v>60</v>
      </c>
      <c r="H20">
        <v>65</v>
      </c>
      <c r="I20">
        <v>65</v>
      </c>
      <c r="J20">
        <v>72</v>
      </c>
      <c r="K20" s="1">
        <f t="shared" si="2"/>
        <v>67.3333333333333</v>
      </c>
      <c r="L20" s="1">
        <f t="shared" si="3"/>
        <v>63.9333333333333</v>
      </c>
      <c r="M20" s="1">
        <v>61.2</v>
      </c>
      <c r="N20">
        <v>50</v>
      </c>
      <c r="O20" s="1">
        <f t="shared" si="4"/>
        <v>60.6</v>
      </c>
      <c r="P20" t="s">
        <v>17</v>
      </c>
    </row>
    <row r="21" spans="1:16">
      <c r="A21" t="s">
        <v>130</v>
      </c>
      <c r="B21">
        <v>50</v>
      </c>
      <c r="C21">
        <v>60</v>
      </c>
      <c r="D21">
        <v>68</v>
      </c>
      <c r="E21" s="1">
        <f t="shared" si="0"/>
        <v>59.3333333333333</v>
      </c>
      <c r="F21">
        <v>70</v>
      </c>
      <c r="G21">
        <f t="shared" si="1"/>
        <v>70</v>
      </c>
      <c r="H21">
        <v>70</v>
      </c>
      <c r="I21">
        <v>75</v>
      </c>
      <c r="J21">
        <v>65</v>
      </c>
      <c r="K21" s="1">
        <f t="shared" si="2"/>
        <v>70</v>
      </c>
      <c r="L21" s="1">
        <f t="shared" si="3"/>
        <v>67.8666666666667</v>
      </c>
      <c r="M21" s="1">
        <v>58.6</v>
      </c>
      <c r="N21">
        <v>50</v>
      </c>
      <c r="O21" s="1">
        <f t="shared" si="4"/>
        <v>62.44</v>
      </c>
      <c r="P21" t="s">
        <v>17</v>
      </c>
    </row>
    <row r="22" spans="1:16">
      <c r="A22" t="s">
        <v>131</v>
      </c>
      <c r="B22">
        <v>52</v>
      </c>
      <c r="C22">
        <v>50</v>
      </c>
      <c r="D22">
        <v>84</v>
      </c>
      <c r="E22" s="1">
        <f t="shared" si="0"/>
        <v>62</v>
      </c>
      <c r="F22">
        <v>50</v>
      </c>
      <c r="G22">
        <f t="shared" si="1"/>
        <v>50</v>
      </c>
      <c r="H22">
        <v>55</v>
      </c>
      <c r="I22">
        <v>60</v>
      </c>
      <c r="J22">
        <v>75</v>
      </c>
      <c r="K22" s="1">
        <f t="shared" si="2"/>
        <v>63.3333333333333</v>
      </c>
      <c r="L22" s="1">
        <f t="shared" si="3"/>
        <v>61.7333333333333</v>
      </c>
      <c r="M22" s="1">
        <v>75.2</v>
      </c>
      <c r="N22">
        <v>92</v>
      </c>
      <c r="O22" s="1">
        <f t="shared" si="4"/>
        <v>70.48</v>
      </c>
      <c r="P22" t="s">
        <v>17</v>
      </c>
    </row>
    <row r="23" spans="1:16">
      <c r="A23" t="s">
        <v>132</v>
      </c>
      <c r="B23">
        <v>55</v>
      </c>
      <c r="C23">
        <v>45</v>
      </c>
      <c r="D23">
        <v>50</v>
      </c>
      <c r="E23" s="1">
        <f t="shared" si="0"/>
        <v>50</v>
      </c>
      <c r="F23">
        <v>65</v>
      </c>
      <c r="G23">
        <f t="shared" si="1"/>
        <v>65</v>
      </c>
      <c r="H23">
        <v>60</v>
      </c>
      <c r="I23">
        <v>65</v>
      </c>
      <c r="J23">
        <v>50</v>
      </c>
      <c r="K23" s="1">
        <f t="shared" si="2"/>
        <v>58.3333333333333</v>
      </c>
      <c r="L23" s="1">
        <f t="shared" si="3"/>
        <v>57.3333333333333</v>
      </c>
      <c r="M23" s="1">
        <v>56.4</v>
      </c>
      <c r="N23">
        <v>45</v>
      </c>
      <c r="O23" s="1">
        <f t="shared" si="4"/>
        <v>54.68</v>
      </c>
      <c r="P23" t="s">
        <v>19</v>
      </c>
    </row>
    <row r="24" spans="1:16">
      <c r="A24" t="s">
        <v>133</v>
      </c>
      <c r="B24">
        <v>60</v>
      </c>
      <c r="C24">
        <v>60</v>
      </c>
      <c r="D24">
        <v>63</v>
      </c>
      <c r="E24" s="1">
        <f t="shared" si="0"/>
        <v>61</v>
      </c>
      <c r="F24">
        <v>70</v>
      </c>
      <c r="G24">
        <f t="shared" si="1"/>
        <v>70</v>
      </c>
      <c r="H24">
        <v>75</v>
      </c>
      <c r="I24">
        <v>70</v>
      </c>
      <c r="J24">
        <v>80</v>
      </c>
      <c r="K24" s="1">
        <f t="shared" si="2"/>
        <v>75</v>
      </c>
      <c r="L24" s="1">
        <f t="shared" si="3"/>
        <v>71.7</v>
      </c>
      <c r="M24" s="1">
        <v>41.4</v>
      </c>
      <c r="N24">
        <v>71</v>
      </c>
      <c r="O24" s="1">
        <f t="shared" si="4"/>
        <v>65.5</v>
      </c>
      <c r="P24" t="s">
        <v>17</v>
      </c>
    </row>
    <row r="26" spans="1:16">
      <c r="H26" t="s">
        <v>134</v>
      </c>
    </row>
  </sheetData>
  <pageMargins left="0.7" right="0.7" top="0.75" bottom="0.75" header="0.3" footer="0.3"/>
  <pageSetup paperSize="9" fitToHeight="0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2"/>
  <sheetViews>
    <sheetView workbookViewId="0">
      <selection activeCell="X21" sqref="X21"/>
    </sheetView>
  </sheetViews>
  <sheetFormatPr defaultColWidth="9" defaultRowHeight="15"/>
  <cols>
    <col min="1" max="1" width="21.1047619047619" customWidth="1"/>
    <col min="2" max="2" width="7.43809523809524" customWidth="1"/>
    <col min="3" max="3" width="7" customWidth="1"/>
    <col min="4" max="4" width="5.66666666666667" customWidth="1"/>
    <col min="5" max="5" width="5.55238095238095" customWidth="1"/>
    <col min="6" max="6" width="6" customWidth="1"/>
    <col min="7" max="7" width="5.88571428571429" customWidth="1"/>
    <col min="8" max="8" width="6.1047619047619" customWidth="1"/>
    <col min="9" max="9" width="5.88571428571429" customWidth="1"/>
    <col min="10" max="10" width="6.21904761904762" customWidth="1"/>
    <col min="11" max="11" width="5.55238095238095" customWidth="1"/>
    <col min="12" max="12" width="7.66666666666667" customWidth="1"/>
    <col min="13" max="13" width="9.43809523809524" customWidth="1"/>
  </cols>
  <sheetData>
    <row r="1" spans="1:15">
      <c r="A1" t="s">
        <v>135</v>
      </c>
      <c r="B1" t="s">
        <v>39</v>
      </c>
      <c r="C1" t="s">
        <v>40</v>
      </c>
      <c r="D1" t="s">
        <v>136</v>
      </c>
      <c r="E1" t="s">
        <v>46</v>
      </c>
      <c r="F1" t="s">
        <v>47</v>
      </c>
      <c r="G1" t="s">
        <v>137</v>
      </c>
      <c r="H1" t="s">
        <v>109</v>
      </c>
      <c r="I1" t="s">
        <v>110</v>
      </c>
      <c r="J1" t="s">
        <v>138</v>
      </c>
      <c r="K1" t="s">
        <v>10</v>
      </c>
      <c r="L1" t="s">
        <v>57</v>
      </c>
      <c r="M1" t="s">
        <v>56</v>
      </c>
      <c r="N1" t="s">
        <v>13</v>
      </c>
      <c r="O1" t="s">
        <v>139</v>
      </c>
    </row>
    <row r="2" spans="1:15">
      <c r="A2" t="s">
        <v>140</v>
      </c>
      <c r="B2">
        <v>50</v>
      </c>
      <c r="C2">
        <v>80</v>
      </c>
      <c r="D2">
        <f>(Table8[[#This Row],[T2]]+Table8[[#This Row],[T1]])/2</f>
        <v>65</v>
      </c>
      <c r="E2">
        <v>70</v>
      </c>
      <c r="F2">
        <v>60</v>
      </c>
      <c r="G2">
        <v>65</v>
      </c>
      <c r="H2">
        <v>60</v>
      </c>
      <c r="I2">
        <v>60</v>
      </c>
      <c r="J2">
        <v>60</v>
      </c>
      <c r="K2" s="1">
        <f>((Table8[[#This Row],[Av3]]*0.7)+(Table8[[#This Row],[Av2]]*0.1)+(Table8[[#This Row],[Av]]*0.2))</f>
        <v>61.5</v>
      </c>
      <c r="L2">
        <v>52</v>
      </c>
      <c r="M2" s="1">
        <v>12.75</v>
      </c>
      <c r="N2" s="1">
        <v>50</v>
      </c>
      <c r="O2" s="1" t="s">
        <v>19</v>
      </c>
    </row>
    <row r="3" spans="1:15">
      <c r="A3" t="s">
        <v>141</v>
      </c>
      <c r="B3">
        <v>92</v>
      </c>
      <c r="C3">
        <v>70</v>
      </c>
      <c r="D3">
        <f>(Table8[[#This Row],[T2]]+Table8[[#This Row],[T1]])/2</f>
        <v>81</v>
      </c>
      <c r="E3">
        <v>100</v>
      </c>
      <c r="F3">
        <v>100</v>
      </c>
      <c r="G3">
        <v>100</v>
      </c>
      <c r="H3">
        <v>60</v>
      </c>
      <c r="I3">
        <v>80</v>
      </c>
      <c r="J3">
        <v>70</v>
      </c>
      <c r="K3" s="1">
        <f>((Table8[[#This Row],[Av3]]*0.7)+(Table8[[#This Row],[Av2]]*0.1)+(Table8[[#This Row],[Av]]*0.2))</f>
        <v>75.2</v>
      </c>
      <c r="L3">
        <v>90</v>
      </c>
      <c r="M3" s="1">
        <v>73.5</v>
      </c>
      <c r="N3" s="1">
        <f>((Table8[[#This Row],[CA]]*0.6)+(Table8[[#This Row],[EXAM]]*0.2)+(Table8[[#This Row],[ENTREP]]*0.2))-5</f>
        <v>72.82</v>
      </c>
      <c r="O3" s="1" t="s">
        <v>17</v>
      </c>
    </row>
    <row r="4" spans="1:15">
      <c r="A4" t="s">
        <v>142</v>
      </c>
      <c r="B4">
        <v>50</v>
      </c>
      <c r="C4">
        <v>70</v>
      </c>
      <c r="D4">
        <f>(Table8[[#This Row],[T2]]+Table8[[#This Row],[T1]])/2</f>
        <v>60</v>
      </c>
      <c r="E4">
        <v>70</v>
      </c>
      <c r="F4">
        <v>100</v>
      </c>
      <c r="G4">
        <v>85</v>
      </c>
      <c r="H4">
        <v>100</v>
      </c>
      <c r="I4">
        <v>60</v>
      </c>
      <c r="J4">
        <v>80</v>
      </c>
      <c r="K4" s="1">
        <f>((Table8[[#This Row],[Av3]]*0.7)+(Table8[[#This Row],[Av2]]*0.1)+(Table8[[#This Row],[Av]]*0.2))</f>
        <v>76.5</v>
      </c>
      <c r="L4">
        <v>41</v>
      </c>
      <c r="M4" s="1">
        <v>33.5</v>
      </c>
      <c r="N4" s="1">
        <f>((Table8[[#This Row],[CA]]*0.6)+(Table8[[#This Row],[EXAM]]*0.2)+(Table8[[#This Row],[ENTREP]]*0.2))-5</f>
        <v>55.8</v>
      </c>
      <c r="O4" s="1" t="s">
        <v>17</v>
      </c>
    </row>
    <row r="5" spans="1:15">
      <c r="A5" t="s">
        <v>143</v>
      </c>
      <c r="B5">
        <v>72</v>
      </c>
      <c r="C5">
        <v>70</v>
      </c>
      <c r="D5">
        <f>(Table8[[#This Row],[T2]]+Table8[[#This Row],[T1]])/2</f>
        <v>71</v>
      </c>
      <c r="E5">
        <v>100</v>
      </c>
      <c r="F5">
        <v>100</v>
      </c>
      <c r="G5">
        <v>100</v>
      </c>
      <c r="H5">
        <v>60</v>
      </c>
      <c r="I5">
        <v>70</v>
      </c>
      <c r="J5">
        <v>65</v>
      </c>
      <c r="K5" s="1">
        <f>((Table8[[#This Row],[Av3]]*0.7)+(Table8[[#This Row],[Av2]]*0.1)+(Table8[[#This Row],[Av]]*0.2))</f>
        <v>69.7</v>
      </c>
      <c r="L5">
        <v>72</v>
      </c>
      <c r="M5" s="1">
        <v>73.75</v>
      </c>
      <c r="N5" s="1">
        <f>((Table8[[#This Row],[CA]]*0.6)+(Table8[[#This Row],[EXAM]]*0.2)+(Table8[[#This Row],[ENTREP]]*0.2))-5</f>
        <v>65.97</v>
      </c>
      <c r="O5" s="1" t="s">
        <v>17</v>
      </c>
    </row>
    <row r="6" spans="1:15">
      <c r="A6" t="s">
        <v>144</v>
      </c>
      <c r="B6">
        <v>80</v>
      </c>
      <c r="C6">
        <v>80</v>
      </c>
      <c r="D6">
        <f>(Table8[[#This Row],[T2]]+Table8[[#This Row],[T1]])/2</f>
        <v>80</v>
      </c>
      <c r="E6">
        <v>100</v>
      </c>
      <c r="F6">
        <v>60</v>
      </c>
      <c r="G6">
        <v>80</v>
      </c>
      <c r="H6">
        <v>100</v>
      </c>
      <c r="I6">
        <v>100</v>
      </c>
      <c r="J6">
        <v>100</v>
      </c>
      <c r="K6" s="1">
        <f>((Table8[[#This Row],[Av3]]*0.7)+(Table8[[#This Row],[Av2]]*0.1)+(Table8[[#This Row],[Av]]*0.2))</f>
        <v>94</v>
      </c>
      <c r="L6">
        <v>50</v>
      </c>
      <c r="M6" s="1">
        <v>0</v>
      </c>
      <c r="N6" s="1">
        <f>((Table8[[#This Row],[CA]]*0.6)+(Table8[[#This Row],[EXAM]]*0.2)+(Table8[[#This Row],[ENTREP]]*0.2))-5</f>
        <v>61.4</v>
      </c>
      <c r="O6" s="1" t="s">
        <v>17</v>
      </c>
    </row>
    <row r="7" spans="1:15">
      <c r="A7" t="s">
        <v>145</v>
      </c>
      <c r="B7">
        <v>50</v>
      </c>
      <c r="C7">
        <v>60</v>
      </c>
      <c r="D7">
        <f>(Table8[[#This Row],[T2]]+Table8[[#This Row],[T1]])/2</f>
        <v>55</v>
      </c>
      <c r="E7">
        <v>100</v>
      </c>
      <c r="F7">
        <v>80</v>
      </c>
      <c r="G7">
        <v>90</v>
      </c>
      <c r="H7">
        <v>60</v>
      </c>
      <c r="I7">
        <v>60</v>
      </c>
      <c r="J7">
        <v>60</v>
      </c>
      <c r="K7" s="1">
        <f>((Table8[[#This Row],[Av3]]*0.7)+(Table8[[#This Row],[Av2]]*0.1)+(Table8[[#This Row],[Av]]*0.2))</f>
        <v>62</v>
      </c>
      <c r="L7" t="s">
        <v>146</v>
      </c>
      <c r="M7" s="1">
        <v>0</v>
      </c>
      <c r="N7" s="1" t="e">
        <f>((Table8[[#This Row],[CA]]*0.6)+(Table8[[#This Row],[EXAM]]*0.2)+(Table8[[#This Row],[ENTREP]]*0.2))-5</f>
        <v>#VALUE!</v>
      </c>
      <c r="O7" s="1"/>
    </row>
    <row r="8" spans="1:15">
      <c r="A8" t="s">
        <v>147</v>
      </c>
      <c r="B8">
        <v>82</v>
      </c>
      <c r="C8">
        <v>100</v>
      </c>
      <c r="D8">
        <f>(Table8[[#This Row],[T2]]+Table8[[#This Row],[T1]])/2</f>
        <v>91</v>
      </c>
      <c r="E8">
        <v>60</v>
      </c>
      <c r="F8">
        <v>80</v>
      </c>
      <c r="G8">
        <v>70</v>
      </c>
      <c r="H8">
        <v>100</v>
      </c>
      <c r="I8">
        <v>100</v>
      </c>
      <c r="J8">
        <v>100</v>
      </c>
      <c r="K8" s="1">
        <f>((Table8[[#This Row],[Av3]]*0.7)+(Table8[[#This Row],[Av2]]*0.1)+(Table8[[#This Row],[Av]]*0.2))</f>
        <v>95.2</v>
      </c>
      <c r="L8">
        <v>79</v>
      </c>
      <c r="M8" s="1">
        <v>69.5</v>
      </c>
      <c r="N8" s="1">
        <f>((Table8[[#This Row],[CA]]*0.6)+(Table8[[#This Row],[EXAM]]*0.2)+(Table8[[#This Row],[ENTREP]]*0.2))-5</f>
        <v>81.82</v>
      </c>
      <c r="O8" s="1" t="s">
        <v>102</v>
      </c>
    </row>
    <row r="9" spans="1:15">
      <c r="A9" t="s">
        <v>148</v>
      </c>
      <c r="B9">
        <v>64</v>
      </c>
      <c r="C9">
        <v>80</v>
      </c>
      <c r="D9">
        <f>(Table8[[#This Row],[T2]]+Table8[[#This Row],[T1]])/2</f>
        <v>72</v>
      </c>
      <c r="E9">
        <v>70</v>
      </c>
      <c r="F9">
        <v>80</v>
      </c>
      <c r="G9">
        <v>75</v>
      </c>
      <c r="H9">
        <v>100</v>
      </c>
      <c r="I9">
        <v>100</v>
      </c>
      <c r="J9">
        <v>100</v>
      </c>
      <c r="K9" s="1">
        <f>((Table8[[#This Row],[Av3]]*0.7)+(Table8[[#This Row],[Av2]]*0.1)+(Table8[[#This Row],[Av]]*0.2))</f>
        <v>91.9</v>
      </c>
      <c r="L9">
        <v>68</v>
      </c>
      <c r="M9" s="1">
        <v>56.5</v>
      </c>
      <c r="N9" s="1">
        <f>((Table8[[#This Row],[CA]]*0.6)+(Table8[[#This Row],[EXAM]]*0.2)+(Table8[[#This Row],[ENTREP]]*0.2))-5</f>
        <v>75.04</v>
      </c>
      <c r="O9" s="1" t="s">
        <v>17</v>
      </c>
    </row>
    <row r="10" spans="1:15">
      <c r="A10" t="s">
        <v>149</v>
      </c>
      <c r="B10">
        <v>78</v>
      </c>
      <c r="C10">
        <v>80</v>
      </c>
      <c r="D10">
        <f>(Table8[[#This Row],[T2]]+Table8[[#This Row],[T1]])/2</f>
        <v>79</v>
      </c>
      <c r="E10">
        <v>100</v>
      </c>
      <c r="F10">
        <v>80</v>
      </c>
      <c r="G10">
        <v>90</v>
      </c>
      <c r="H10">
        <v>90</v>
      </c>
      <c r="I10">
        <v>100</v>
      </c>
      <c r="J10">
        <v>95</v>
      </c>
      <c r="K10" s="1">
        <f>((Table8[[#This Row],[Av3]]*0.7)+(Table8[[#This Row],[Av2]]*0.1)+(Table8[[#This Row],[Av]]*0.2))</f>
        <v>91.3</v>
      </c>
      <c r="L10">
        <v>66</v>
      </c>
      <c r="M10" s="1">
        <v>39.75</v>
      </c>
      <c r="N10" s="1">
        <f>((Table8[[#This Row],[CA]]*0.6)+(Table8[[#This Row],[EXAM]]*0.2)+(Table8[[#This Row],[ENTREP]]*0.2))-5</f>
        <v>70.93</v>
      </c>
      <c r="O10" s="1" t="s">
        <v>17</v>
      </c>
    </row>
    <row r="11" spans="1:15">
      <c r="A11" t="s">
        <v>150</v>
      </c>
      <c r="B11">
        <v>78</v>
      </c>
      <c r="C11">
        <v>80</v>
      </c>
      <c r="D11">
        <f>(Table8[[#This Row],[T2]]+Table8[[#This Row],[T1]])/2</f>
        <v>79</v>
      </c>
      <c r="E11">
        <v>100</v>
      </c>
      <c r="F11">
        <v>100</v>
      </c>
      <c r="G11">
        <v>100</v>
      </c>
      <c r="H11">
        <v>100</v>
      </c>
      <c r="I11">
        <v>60</v>
      </c>
      <c r="J11">
        <v>80</v>
      </c>
      <c r="K11" s="1">
        <f>((Table8[[#This Row],[Av3]]*0.7)+(Table8[[#This Row],[Av2]]*0.1)+(Table8[[#This Row],[Av]]*0.2))</f>
        <v>81.8</v>
      </c>
      <c r="L11">
        <v>63</v>
      </c>
      <c r="M11" s="1">
        <v>58</v>
      </c>
      <c r="N11" s="1">
        <f>((Table8[[#This Row],[CA]]*0.6)+(Table8[[#This Row],[EXAM]]*0.2)+(Table8[[#This Row],[ENTREP]]*0.2))-5</f>
        <v>68.28</v>
      </c>
      <c r="O11" s="1" t="s">
        <v>17</v>
      </c>
    </row>
    <row r="12" spans="1:15">
      <c r="A12" t="s">
        <v>151</v>
      </c>
      <c r="B12">
        <v>50</v>
      </c>
      <c r="C12">
        <v>60</v>
      </c>
      <c r="D12">
        <f>(Table8[[#This Row],[T2]]+Table8[[#This Row],[T1]])/2</f>
        <v>55</v>
      </c>
      <c r="E12">
        <v>70</v>
      </c>
      <c r="F12">
        <v>70</v>
      </c>
      <c r="G12">
        <v>70</v>
      </c>
      <c r="H12">
        <v>100</v>
      </c>
      <c r="I12">
        <v>100</v>
      </c>
      <c r="J12">
        <v>100</v>
      </c>
      <c r="K12" s="1">
        <f>((Table8[[#This Row],[Av3]]*0.7)+(Table8[[#This Row],[Av2]]*0.1)+(Table8[[#This Row],[Av]]*0.2))</f>
        <v>88</v>
      </c>
      <c r="L12">
        <v>66</v>
      </c>
      <c r="M12" s="1">
        <v>52</v>
      </c>
      <c r="N12" s="1">
        <f>((Table8[[#This Row],[CA]]*0.6)+(Table8[[#This Row],[EXAM]]*0.2)+(Table8[[#This Row],[ENTREP]]*0.2))-5</f>
        <v>71.4</v>
      </c>
      <c r="O12" s="1" t="s">
        <v>17</v>
      </c>
    </row>
    <row r="13" spans="1:15">
      <c r="A13" t="s">
        <v>152</v>
      </c>
      <c r="B13">
        <v>84</v>
      </c>
      <c r="C13">
        <v>70</v>
      </c>
      <c r="D13">
        <f>(Table8[[#This Row],[T2]]+Table8[[#This Row],[T1]])/2</f>
        <v>77</v>
      </c>
      <c r="E13">
        <v>100</v>
      </c>
      <c r="F13">
        <v>80</v>
      </c>
      <c r="G13">
        <v>90</v>
      </c>
      <c r="H13">
        <v>100</v>
      </c>
      <c r="I13">
        <v>100</v>
      </c>
      <c r="J13">
        <v>100</v>
      </c>
      <c r="K13" s="1">
        <f>((Table8[[#This Row],[Av3]]*0.7)+(Table8[[#This Row],[Av2]]*0.1)+(Table8[[#This Row],[Av]]*0.2))</f>
        <v>94.4</v>
      </c>
      <c r="L13">
        <v>81</v>
      </c>
      <c r="M13" s="1">
        <v>61</v>
      </c>
      <c r="N13" s="1">
        <f>((Table8[[#This Row],[CA]]*0.6)+(Table8[[#This Row],[EXAM]]*0.2)+(Table8[[#This Row],[ENTREP]]*0.2))-5</f>
        <v>80.04</v>
      </c>
      <c r="O13" s="1" t="s">
        <v>102</v>
      </c>
    </row>
    <row r="14" spans="1:15">
      <c r="A14" t="s">
        <v>153</v>
      </c>
      <c r="B14">
        <v>80</v>
      </c>
      <c r="C14">
        <v>90</v>
      </c>
      <c r="D14">
        <f>(Table8[[#This Row],[T2]]+Table8[[#This Row],[T1]])/2</f>
        <v>85</v>
      </c>
      <c r="E14">
        <v>100</v>
      </c>
      <c r="F14">
        <v>80</v>
      </c>
      <c r="G14">
        <v>90</v>
      </c>
      <c r="H14">
        <v>100</v>
      </c>
      <c r="I14">
        <v>70</v>
      </c>
      <c r="J14">
        <v>85</v>
      </c>
      <c r="K14" s="1">
        <f>((Table8[[#This Row],[Av3]]*0.7)+(Table8[[#This Row],[Av2]]*0.1)+(Table8[[#This Row],[Av]]*0.2))</f>
        <v>85.5</v>
      </c>
      <c r="L14">
        <v>76</v>
      </c>
      <c r="M14" s="1">
        <v>36.25</v>
      </c>
      <c r="N14" s="1">
        <f>((Table8[[#This Row],[CA]]*0.6)+(Table8[[#This Row],[EXAM]]*0.2)+(Table8[[#This Row],[ENTREP]]*0.2))-5</f>
        <v>68.75</v>
      </c>
      <c r="O14" s="1" t="s">
        <v>17</v>
      </c>
    </row>
    <row r="15" spans="1:15">
      <c r="A15" t="s">
        <v>154</v>
      </c>
      <c r="B15">
        <v>72</v>
      </c>
      <c r="C15">
        <v>80</v>
      </c>
      <c r="D15">
        <f>(Table8[[#This Row],[T2]]+Table8[[#This Row],[T1]])/2</f>
        <v>76</v>
      </c>
      <c r="E15">
        <v>100</v>
      </c>
      <c r="F15">
        <v>80</v>
      </c>
      <c r="G15">
        <v>90</v>
      </c>
      <c r="H15">
        <v>100</v>
      </c>
      <c r="I15">
        <v>80</v>
      </c>
      <c r="J15">
        <v>90</v>
      </c>
      <c r="K15" s="1">
        <f>((Table8[[#This Row],[Av3]]*0.7)+(Table8[[#This Row],[Av2]]*0.1)+(Table8[[#This Row],[Av]]*0.2))</f>
        <v>87.2</v>
      </c>
      <c r="L15">
        <v>85</v>
      </c>
      <c r="M15" s="1">
        <v>61.5</v>
      </c>
      <c r="N15" s="1">
        <f>((Table8[[#This Row],[CA]]*0.6)+(Table8[[#This Row],[EXAM]]*0.2)+(Table8[[#This Row],[ENTREP]]*0.2))-5</f>
        <v>76.62</v>
      </c>
      <c r="O15" s="1" t="s">
        <v>17</v>
      </c>
    </row>
    <row r="16" spans="1:15">
      <c r="A16" t="s">
        <v>155</v>
      </c>
      <c r="B16">
        <v>84</v>
      </c>
      <c r="C16">
        <v>100</v>
      </c>
      <c r="D16">
        <f>(Table8[[#This Row],[T2]]+Table8[[#This Row],[T1]])/2</f>
        <v>92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 s="1">
        <f>((Table8[[#This Row],[Av3]]*0.7)+(Table8[[#This Row],[Av2]]*0.1)+(Table8[[#This Row],[Av]]*0.2))</f>
        <v>98.4</v>
      </c>
      <c r="L16">
        <v>70</v>
      </c>
      <c r="M16" s="1">
        <v>70.25</v>
      </c>
      <c r="N16" s="1">
        <f>((Table8[[#This Row],[CA]]*0.6)+(Table8[[#This Row],[EXAM]]*0.2)+(Table8[[#This Row],[ENTREP]]*0.2))-5</f>
        <v>82.09</v>
      </c>
      <c r="O16" s="1" t="s">
        <v>102</v>
      </c>
    </row>
    <row r="17" spans="1:15">
      <c r="A17" t="s">
        <v>156</v>
      </c>
      <c r="B17">
        <v>60</v>
      </c>
      <c r="C17">
        <v>80</v>
      </c>
      <c r="D17">
        <f>(Table8[[#This Row],[T2]]+Table8[[#This Row],[T1]])/2</f>
        <v>70</v>
      </c>
      <c r="E17">
        <v>60</v>
      </c>
      <c r="F17">
        <v>60</v>
      </c>
      <c r="G17">
        <v>60</v>
      </c>
      <c r="H17">
        <v>70</v>
      </c>
      <c r="I17">
        <v>70</v>
      </c>
      <c r="J17">
        <v>70</v>
      </c>
      <c r="K17" s="1">
        <f>((Table8[[#This Row],[Av3]]*0.7)+(Table8[[#This Row],[Av2]]*0.1)+(Table8[[#This Row],[Av]]*0.2))</f>
        <v>69</v>
      </c>
      <c r="L17">
        <v>40</v>
      </c>
      <c r="M17" s="1">
        <v>44</v>
      </c>
      <c r="N17" s="1">
        <f>((Table8[[#This Row],[CA]]*0.6)+(Table8[[#This Row],[EXAM]]*0.2)+(Table8[[#This Row],[ENTREP]]*0.2))-5</f>
        <v>53.2</v>
      </c>
      <c r="O17" s="1" t="s">
        <v>19</v>
      </c>
    </row>
    <row r="18" spans="1:15">
      <c r="A18" t="s">
        <v>157</v>
      </c>
      <c r="B18">
        <v>60</v>
      </c>
      <c r="C18">
        <v>100</v>
      </c>
      <c r="D18">
        <f>(Table8[[#This Row],[T2]]+Table8[[#This Row],[T1]])/2</f>
        <v>80</v>
      </c>
      <c r="E18">
        <v>60</v>
      </c>
      <c r="F18">
        <v>80</v>
      </c>
      <c r="G18">
        <v>70</v>
      </c>
      <c r="H18">
        <v>100</v>
      </c>
      <c r="I18">
        <v>100</v>
      </c>
      <c r="J18">
        <v>100</v>
      </c>
      <c r="K18" s="1">
        <f>((Table8[[#This Row],[Av3]]*0.7)+(Table8[[#This Row],[Av2]]*0.1)+(Table8[[#This Row],[Av]]*0.2))</f>
        <v>93</v>
      </c>
      <c r="L18">
        <v>77</v>
      </c>
      <c r="M18" s="1">
        <v>44.25</v>
      </c>
      <c r="N18" s="1">
        <f>((Table8[[#This Row],[CA]]*0.6)+(Table8[[#This Row],[EXAM]]*0.2)+(Table8[[#This Row],[ENTREP]]*0.2))-5</f>
        <v>75.05</v>
      </c>
      <c r="O18" s="1" t="s">
        <v>17</v>
      </c>
    </row>
    <row r="19" spans="1:15">
      <c r="A19" t="s">
        <v>158</v>
      </c>
      <c r="B19">
        <v>82</v>
      </c>
      <c r="C19">
        <v>100</v>
      </c>
      <c r="D19">
        <f>(Table8[[#This Row],[T2]]+Table8[[#This Row],[T1]])/2</f>
        <v>91</v>
      </c>
      <c r="E19">
        <v>70</v>
      </c>
      <c r="F19">
        <v>100</v>
      </c>
      <c r="G19">
        <v>85</v>
      </c>
      <c r="H19">
        <v>100</v>
      </c>
      <c r="I19">
        <v>90</v>
      </c>
      <c r="J19">
        <v>95</v>
      </c>
      <c r="K19" s="1">
        <f>((Table8[[#This Row],[Av3]]*0.7)+(Table8[[#This Row],[Av2]]*0.1)+(Table8[[#This Row],[Av]]*0.2))</f>
        <v>93.2</v>
      </c>
      <c r="L19">
        <v>55</v>
      </c>
      <c r="M19" s="1">
        <v>65.5</v>
      </c>
      <c r="N19" s="1">
        <f>((Table8[[#This Row],[CA]]*0.6)+(Table8[[#This Row],[EXAM]]*0.2)+(Table8[[#This Row],[ENTREP]]*0.2))-5</f>
        <v>75.02</v>
      </c>
      <c r="O19" s="1" t="s">
        <v>17</v>
      </c>
    </row>
    <row r="20" spans="1:15">
      <c r="A20" t="s">
        <v>159</v>
      </c>
      <c r="B20">
        <v>66</v>
      </c>
      <c r="C20">
        <v>60</v>
      </c>
      <c r="D20">
        <f>(Table8[[#This Row],[T2]]+Table8[[#This Row],[T1]])/2</f>
        <v>63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 s="1">
        <f>((Table8[[#This Row],[Av3]]*0.7)+(Table8[[#This Row],[Av2]]*0.1)+(Table8[[#This Row],[Av]]*0.2))</f>
        <v>92.6</v>
      </c>
      <c r="L20">
        <v>81</v>
      </c>
      <c r="M20" s="1">
        <v>44.25</v>
      </c>
      <c r="N20" s="1">
        <f>((Table8[[#This Row],[CA]]*0.6)+(Table8[[#This Row],[EXAM]]*0.2)+(Table8[[#This Row],[ENTREP]]*0.2))-5</f>
        <v>75.61</v>
      </c>
      <c r="O20" s="1" t="s">
        <v>17</v>
      </c>
    </row>
    <row r="21" spans="1:15">
      <c r="M21" s="1"/>
    </row>
    <row r="22" spans="1:15">
      <c r="D22" t="s">
        <v>160</v>
      </c>
    </row>
  </sheetData>
  <pageMargins left="0.7" right="0.7" top="0.75" bottom="0.75" header="0.3" footer="0.3"/>
  <pageSetup paperSize="9" fitToHeight="0" orientation="landscape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workbookViewId="0">
      <selection activeCell="J29" sqref="J29"/>
    </sheetView>
  </sheetViews>
  <sheetFormatPr defaultColWidth="9" defaultRowHeight="15"/>
  <cols>
    <col min="1" max="1" width="26.8857142857143" customWidth="1"/>
    <col min="2" max="2" width="5.78095238095238" customWidth="1"/>
    <col min="3" max="3" width="7.21904761904762" customWidth="1"/>
    <col min="4" max="4" width="6.43809523809524" customWidth="1"/>
    <col min="5" max="5" width="5.66666666666667" customWidth="1"/>
    <col min="6" max="6" width="6" customWidth="1"/>
    <col min="7" max="7" width="5.66666666666667" customWidth="1"/>
    <col min="8" max="8" width="5.55238095238095" customWidth="1"/>
    <col min="9" max="9" width="5.66666666666667" customWidth="1"/>
    <col min="10" max="10" width="4.43809523809524" customWidth="1"/>
    <col min="11" max="11" width="5.78095238095238" customWidth="1"/>
    <col min="12" max="12" width="5.1047619047619" customWidth="1"/>
    <col min="13" max="13" width="6" customWidth="1"/>
    <col min="14" max="15" width="7.21904761904762" customWidth="1"/>
  </cols>
  <sheetData>
    <row r="1" ht="15.75" spans="1:17">
      <c r="A1" s="5" t="s">
        <v>161</v>
      </c>
      <c r="B1" s="5" t="s">
        <v>162</v>
      </c>
      <c r="C1" s="5" t="s">
        <v>163</v>
      </c>
      <c r="D1" s="5" t="s">
        <v>164</v>
      </c>
      <c r="E1" s="5" t="s">
        <v>45</v>
      </c>
      <c r="F1" s="5" t="s">
        <v>46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55</v>
      </c>
      <c r="M1" s="5" t="s">
        <v>10</v>
      </c>
      <c r="N1" s="5" t="s">
        <v>56</v>
      </c>
      <c r="O1" s="5" t="s">
        <v>57</v>
      </c>
      <c r="P1" s="5" t="s">
        <v>13</v>
      </c>
      <c r="Q1" s="6" t="s">
        <v>79</v>
      </c>
    </row>
    <row r="2" spans="1:17">
      <c r="A2" s="7" t="s">
        <v>165</v>
      </c>
      <c r="B2" s="7">
        <v>67</v>
      </c>
      <c r="C2" s="7">
        <v>68</v>
      </c>
      <c r="D2" s="7">
        <v>77</v>
      </c>
      <c r="E2" s="8">
        <f>(B2+C2+D2)/3</f>
        <v>70.6666666666667</v>
      </c>
      <c r="F2" s="7">
        <v>80</v>
      </c>
      <c r="G2" s="7">
        <f>F2</f>
        <v>80</v>
      </c>
      <c r="H2" s="7">
        <v>66</v>
      </c>
      <c r="I2" s="7">
        <v>66</v>
      </c>
      <c r="J2" s="7">
        <v>73</v>
      </c>
      <c r="K2" s="7">
        <v>77</v>
      </c>
      <c r="L2" s="8">
        <f>(H2+I2+J2+K2)/4</f>
        <v>70.5</v>
      </c>
      <c r="M2" s="8">
        <f>((E2*0.2)+(G2*0.1)+(L2*0.7))</f>
        <v>71.4833333333333</v>
      </c>
      <c r="N2" s="7">
        <v>72</v>
      </c>
      <c r="O2" s="7">
        <v>71</v>
      </c>
      <c r="P2" s="9">
        <f>((M2*0.6)+(N2*0.2)+(O2*0.2))</f>
        <v>71.49</v>
      </c>
      <c r="Q2" t="s">
        <v>17</v>
      </c>
    </row>
    <row r="3" spans="1:17">
      <c r="A3" s="7" t="s">
        <v>166</v>
      </c>
      <c r="B3" s="7">
        <v>87</v>
      </c>
      <c r="C3" s="7">
        <v>73</v>
      </c>
      <c r="D3" s="7">
        <v>87</v>
      </c>
      <c r="E3" s="8">
        <f t="shared" ref="E3:E13" si="0">(B3+C3+D3)/3</f>
        <v>82.3333333333333</v>
      </c>
      <c r="F3" s="7">
        <v>80</v>
      </c>
      <c r="G3" s="7">
        <f t="shared" ref="G3:G13" si="1">F3</f>
        <v>80</v>
      </c>
      <c r="H3" s="7">
        <v>72</v>
      </c>
      <c r="I3" s="7">
        <v>71</v>
      </c>
      <c r="J3" s="7">
        <v>76</v>
      </c>
      <c r="K3" s="7">
        <v>75</v>
      </c>
      <c r="L3" s="8">
        <f t="shared" ref="L3:L13" si="2">(H3+I3+J3+K3)/4</f>
        <v>73.5</v>
      </c>
      <c r="M3" s="8">
        <f t="shared" ref="M3:M13" si="3">((E3*0.2)+(G3*0.1)+(L3*0.7))</f>
        <v>75.9166666666667</v>
      </c>
      <c r="N3" s="7">
        <v>64</v>
      </c>
      <c r="O3" s="7">
        <v>80</v>
      </c>
      <c r="P3" s="9">
        <f t="shared" ref="P3:P13" si="4">((M3*0.6)+(N3*0.2)+(O3*0.2))</f>
        <v>74.35</v>
      </c>
      <c r="Q3" t="s">
        <v>17</v>
      </c>
    </row>
    <row r="4" spans="1:17">
      <c r="A4" s="7" t="s">
        <v>167</v>
      </c>
      <c r="B4" s="7">
        <v>80</v>
      </c>
      <c r="C4" s="7">
        <v>75</v>
      </c>
      <c r="D4" s="7">
        <v>86</v>
      </c>
      <c r="E4" s="8">
        <f t="shared" si="0"/>
        <v>80.3333333333333</v>
      </c>
      <c r="F4" s="7">
        <v>82</v>
      </c>
      <c r="G4" s="7">
        <f t="shared" si="1"/>
        <v>82</v>
      </c>
      <c r="H4" s="7">
        <v>72</v>
      </c>
      <c r="I4" s="7">
        <v>64</v>
      </c>
      <c r="J4" s="7">
        <v>74</v>
      </c>
      <c r="K4" s="7">
        <v>77</v>
      </c>
      <c r="L4" s="8">
        <f t="shared" si="2"/>
        <v>71.75</v>
      </c>
      <c r="M4" s="8">
        <f t="shared" si="3"/>
        <v>74.4916666666667</v>
      </c>
      <c r="N4" s="7">
        <v>96</v>
      </c>
      <c r="O4" s="7">
        <v>77</v>
      </c>
      <c r="P4" s="9">
        <f t="shared" si="4"/>
        <v>79.295</v>
      </c>
      <c r="Q4" t="s">
        <v>17</v>
      </c>
    </row>
    <row r="5" spans="1:17">
      <c r="A5" s="7" t="s">
        <v>168</v>
      </c>
      <c r="B5" s="7">
        <v>48</v>
      </c>
      <c r="C5" s="7">
        <v>47</v>
      </c>
      <c r="D5" s="7">
        <v>54</v>
      </c>
      <c r="E5" s="8">
        <f t="shared" si="0"/>
        <v>49.6666666666667</v>
      </c>
      <c r="F5" s="7">
        <v>60</v>
      </c>
      <c r="G5" s="7">
        <f t="shared" si="1"/>
        <v>60</v>
      </c>
      <c r="H5" s="7">
        <v>67</v>
      </c>
      <c r="I5" s="7">
        <v>65</v>
      </c>
      <c r="J5" s="7">
        <v>71</v>
      </c>
      <c r="K5" s="7">
        <v>78</v>
      </c>
      <c r="L5" s="8">
        <f t="shared" si="2"/>
        <v>70.25</v>
      </c>
      <c r="M5" s="8">
        <f t="shared" si="3"/>
        <v>65.1083333333333</v>
      </c>
      <c r="N5" s="7">
        <v>18</v>
      </c>
      <c r="O5" s="7">
        <v>34</v>
      </c>
      <c r="P5" s="9">
        <v>50</v>
      </c>
      <c r="Q5" t="s">
        <v>19</v>
      </c>
    </row>
    <row r="6" spans="1:17">
      <c r="A6" s="7" t="s">
        <v>169</v>
      </c>
      <c r="B6" s="7">
        <v>75</v>
      </c>
      <c r="C6" s="7">
        <v>70</v>
      </c>
      <c r="D6" s="7">
        <v>80</v>
      </c>
      <c r="E6" s="8">
        <f t="shared" si="0"/>
        <v>75</v>
      </c>
      <c r="F6" s="7">
        <v>60</v>
      </c>
      <c r="G6" s="7">
        <f t="shared" si="1"/>
        <v>60</v>
      </c>
      <c r="H6" s="7">
        <v>72</v>
      </c>
      <c r="I6" s="7">
        <v>65</v>
      </c>
      <c r="J6" s="7">
        <v>72</v>
      </c>
      <c r="K6" s="7">
        <v>75</v>
      </c>
      <c r="L6" s="8">
        <f t="shared" si="2"/>
        <v>71</v>
      </c>
      <c r="M6" s="8">
        <f t="shared" si="3"/>
        <v>70.7</v>
      </c>
      <c r="N6" s="7">
        <v>55</v>
      </c>
      <c r="O6" s="7">
        <v>76</v>
      </c>
      <c r="P6" s="9">
        <f t="shared" si="4"/>
        <v>68.62</v>
      </c>
      <c r="Q6" t="s">
        <v>17</v>
      </c>
    </row>
    <row r="7" spans="1:17">
      <c r="A7" s="7" t="s">
        <v>170</v>
      </c>
      <c r="B7" s="7">
        <v>75</v>
      </c>
      <c r="C7" s="7">
        <v>88</v>
      </c>
      <c r="D7" s="7">
        <v>77</v>
      </c>
      <c r="E7" s="8">
        <f t="shared" si="0"/>
        <v>80</v>
      </c>
      <c r="F7" s="7">
        <v>60</v>
      </c>
      <c r="G7" s="7">
        <f t="shared" si="1"/>
        <v>60</v>
      </c>
      <c r="H7" s="7">
        <v>72</v>
      </c>
      <c r="I7" s="7">
        <v>66</v>
      </c>
      <c r="J7" s="7">
        <v>74</v>
      </c>
      <c r="K7" s="7">
        <v>75</v>
      </c>
      <c r="L7" s="8">
        <f t="shared" si="2"/>
        <v>71.75</v>
      </c>
      <c r="M7" s="8">
        <f t="shared" si="3"/>
        <v>72.225</v>
      </c>
      <c r="N7" s="7">
        <v>68</v>
      </c>
      <c r="O7" s="7">
        <v>67</v>
      </c>
      <c r="P7" s="9">
        <f t="shared" si="4"/>
        <v>70.335</v>
      </c>
      <c r="Q7" t="s">
        <v>17</v>
      </c>
    </row>
    <row r="8" spans="1:17">
      <c r="A8" s="7" t="s">
        <v>171</v>
      </c>
      <c r="B8" s="7">
        <v>68</v>
      </c>
      <c r="C8" s="7">
        <v>68</v>
      </c>
      <c r="D8" s="7">
        <v>90</v>
      </c>
      <c r="E8" s="8">
        <f t="shared" si="0"/>
        <v>75.3333333333333</v>
      </c>
      <c r="F8" s="7">
        <v>58</v>
      </c>
      <c r="G8" s="7">
        <f t="shared" si="1"/>
        <v>58</v>
      </c>
      <c r="H8" s="7">
        <v>67</v>
      </c>
      <c r="I8" s="7">
        <v>70</v>
      </c>
      <c r="J8" s="7">
        <v>81</v>
      </c>
      <c r="K8" s="7">
        <v>77</v>
      </c>
      <c r="L8" s="8">
        <f t="shared" si="2"/>
        <v>73.75</v>
      </c>
      <c r="M8" s="8">
        <f t="shared" si="3"/>
        <v>72.4916666666667</v>
      </c>
      <c r="N8" s="7">
        <v>47</v>
      </c>
      <c r="O8" s="7">
        <v>77</v>
      </c>
      <c r="P8" s="9">
        <f t="shared" si="4"/>
        <v>68.295</v>
      </c>
      <c r="Q8" t="s">
        <v>17</v>
      </c>
    </row>
    <row r="9" spans="1:17">
      <c r="A9" s="7" t="s">
        <v>172</v>
      </c>
      <c r="B9" s="7">
        <v>72</v>
      </c>
      <c r="C9" s="7">
        <v>92</v>
      </c>
      <c r="D9" s="7">
        <v>82</v>
      </c>
      <c r="E9" s="8">
        <f t="shared" si="0"/>
        <v>82</v>
      </c>
      <c r="F9" s="7">
        <v>80</v>
      </c>
      <c r="G9" s="7">
        <f t="shared" si="1"/>
        <v>80</v>
      </c>
      <c r="H9" s="7">
        <v>72</v>
      </c>
      <c r="I9" s="7">
        <v>73</v>
      </c>
      <c r="J9" s="7">
        <v>71</v>
      </c>
      <c r="K9" s="7">
        <v>78</v>
      </c>
      <c r="L9" s="8">
        <f t="shared" si="2"/>
        <v>73.5</v>
      </c>
      <c r="M9" s="8">
        <f t="shared" si="3"/>
        <v>75.85</v>
      </c>
      <c r="N9" s="7">
        <v>53</v>
      </c>
      <c r="O9" s="7">
        <v>71</v>
      </c>
      <c r="P9" s="9">
        <f t="shared" si="4"/>
        <v>70.31</v>
      </c>
      <c r="Q9" t="s">
        <v>17</v>
      </c>
    </row>
    <row r="10" spans="1:17">
      <c r="A10" s="7" t="s">
        <v>173</v>
      </c>
      <c r="B10" s="7">
        <v>35</v>
      </c>
      <c r="C10" s="7">
        <v>40</v>
      </c>
      <c r="D10" s="7">
        <v>54</v>
      </c>
      <c r="E10" s="8">
        <f t="shared" si="0"/>
        <v>43</v>
      </c>
      <c r="F10" s="7">
        <v>56</v>
      </c>
      <c r="G10" s="7">
        <f t="shared" si="1"/>
        <v>56</v>
      </c>
      <c r="H10" s="7">
        <v>67</v>
      </c>
      <c r="I10" s="7">
        <v>58</v>
      </c>
      <c r="J10" s="7">
        <v>48</v>
      </c>
      <c r="K10" s="7">
        <v>77</v>
      </c>
      <c r="L10" s="8">
        <f t="shared" si="2"/>
        <v>62.5</v>
      </c>
      <c r="M10" s="8">
        <f t="shared" si="3"/>
        <v>57.95</v>
      </c>
      <c r="N10" s="7">
        <v>28</v>
      </c>
      <c r="O10" s="7">
        <v>42</v>
      </c>
      <c r="P10" s="9">
        <v>50</v>
      </c>
      <c r="Q10" t="s">
        <v>19</v>
      </c>
    </row>
    <row r="11" spans="1:17">
      <c r="A11" s="7" t="s">
        <v>174</v>
      </c>
      <c r="B11" s="7">
        <v>75</v>
      </c>
      <c r="C11" s="7">
        <v>67</v>
      </c>
      <c r="D11" s="7">
        <v>70</v>
      </c>
      <c r="E11" s="8">
        <f t="shared" si="0"/>
        <v>70.6666666666667</v>
      </c>
      <c r="F11" s="7">
        <v>70</v>
      </c>
      <c r="G11" s="7">
        <f t="shared" si="1"/>
        <v>70</v>
      </c>
      <c r="H11" s="7">
        <v>66</v>
      </c>
      <c r="I11" s="7">
        <v>66</v>
      </c>
      <c r="J11" s="7">
        <v>68</v>
      </c>
      <c r="K11" s="7">
        <v>78</v>
      </c>
      <c r="L11" s="8">
        <f t="shared" si="2"/>
        <v>69.5</v>
      </c>
      <c r="M11" s="8">
        <f t="shared" si="3"/>
        <v>69.7833333333333</v>
      </c>
      <c r="N11" s="7">
        <v>83</v>
      </c>
      <c r="O11" s="7">
        <v>67</v>
      </c>
      <c r="P11" s="9">
        <f t="shared" si="4"/>
        <v>71.87</v>
      </c>
      <c r="Q11" t="s">
        <v>17</v>
      </c>
    </row>
    <row r="12" spans="1:17">
      <c r="A12" s="7" t="s">
        <v>175</v>
      </c>
      <c r="B12" s="7">
        <v>77</v>
      </c>
      <c r="C12" s="7">
        <v>56</v>
      </c>
      <c r="D12" s="7">
        <v>66</v>
      </c>
      <c r="E12" s="8">
        <f t="shared" si="0"/>
        <v>66.3333333333333</v>
      </c>
      <c r="F12" s="7">
        <v>60</v>
      </c>
      <c r="G12" s="7">
        <f t="shared" si="1"/>
        <v>60</v>
      </c>
      <c r="H12" s="7">
        <v>66</v>
      </c>
      <c r="I12" s="7">
        <v>66</v>
      </c>
      <c r="J12" s="7">
        <v>65</v>
      </c>
      <c r="K12" s="7">
        <v>78</v>
      </c>
      <c r="L12" s="8">
        <f t="shared" si="2"/>
        <v>68.75</v>
      </c>
      <c r="M12" s="8">
        <f t="shared" si="3"/>
        <v>67.3916666666667</v>
      </c>
      <c r="N12" s="7">
        <v>57</v>
      </c>
      <c r="O12" s="7">
        <v>61</v>
      </c>
      <c r="P12" s="9">
        <f t="shared" si="4"/>
        <v>64.035</v>
      </c>
      <c r="Q12" t="s">
        <v>17</v>
      </c>
    </row>
    <row r="13" spans="1:17">
      <c r="A13" s="7" t="s">
        <v>176</v>
      </c>
      <c r="B13" s="7">
        <v>53</v>
      </c>
      <c r="C13" s="7">
        <v>32</v>
      </c>
      <c r="D13" s="7">
        <v>58</v>
      </c>
      <c r="E13" s="8">
        <f t="shared" si="0"/>
        <v>47.6666666666667</v>
      </c>
      <c r="F13" s="7">
        <v>56</v>
      </c>
      <c r="G13" s="7">
        <f t="shared" si="1"/>
        <v>56</v>
      </c>
      <c r="H13" s="7">
        <v>72</v>
      </c>
      <c r="I13" s="7">
        <v>66</v>
      </c>
      <c r="J13" s="7">
        <v>74</v>
      </c>
      <c r="K13" s="7">
        <v>75</v>
      </c>
      <c r="L13" s="8">
        <f t="shared" si="2"/>
        <v>71.75</v>
      </c>
      <c r="M13" s="8">
        <f t="shared" si="3"/>
        <v>65.3583333333333</v>
      </c>
      <c r="N13" s="7">
        <v>26</v>
      </c>
      <c r="O13" s="7">
        <v>59</v>
      </c>
      <c r="P13" s="9">
        <f t="shared" si="4"/>
        <v>56.215</v>
      </c>
      <c r="Q13" t="s">
        <v>19</v>
      </c>
    </row>
    <row r="15" spans="1:17">
      <c r="A15" s="10"/>
      <c r="B15" s="10"/>
      <c r="C15" s="10"/>
      <c r="D15" s="10"/>
      <c r="E15" s="11"/>
      <c r="F15" s="10"/>
      <c r="G15" s="10" t="s">
        <v>177</v>
      </c>
      <c r="H15" s="10"/>
      <c r="I15" s="10"/>
      <c r="J15" s="10"/>
      <c r="K15" s="10"/>
      <c r="L15" s="11"/>
      <c r="M15" s="11"/>
      <c r="N15" s="10"/>
      <c r="O15" s="10"/>
      <c r="P15" s="12"/>
    </row>
  </sheetData>
  <pageMargins left="0.7" right="0.7" top="0.75" bottom="0.75" header="0.3" footer="0.3"/>
  <pageSetup paperSize="9" orientation="landscape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3"/>
  <sheetViews>
    <sheetView workbookViewId="0">
      <selection activeCell="F25" sqref="F25"/>
    </sheetView>
  </sheetViews>
  <sheetFormatPr defaultColWidth="9" defaultRowHeight="15"/>
  <cols>
    <col min="1" max="1" width="25.1047619047619" customWidth="1"/>
    <col min="2" max="2" width="7.55238095238095" customWidth="1"/>
    <col min="3" max="3" width="7" customWidth="1"/>
    <col min="4" max="4" width="7.43809523809524" customWidth="1"/>
    <col min="5" max="5" width="5.1047619047619" customWidth="1"/>
    <col min="6" max="6" width="5.78095238095238" customWidth="1"/>
    <col min="7" max="7" width="6.88571428571429" customWidth="1"/>
    <col min="8" max="8" width="5.33333333333333" customWidth="1"/>
    <col min="9" max="9" width="6.43809523809524" customWidth="1"/>
    <col min="10" max="10" width="6.1047619047619" customWidth="1"/>
    <col min="11" max="11" width="5.78095238095238" customWidth="1"/>
    <col min="12" max="12" width="5" customWidth="1"/>
    <col min="13" max="13" width="6.66666666666667" customWidth="1"/>
    <col min="14" max="14" width="5.43809523809524" customWidth="1"/>
    <col min="15" max="15" width="5.33333333333333" customWidth="1"/>
    <col min="16" max="16" width="10.4380952380952" customWidth="1"/>
  </cols>
  <sheetData>
    <row r="1" spans="1:16">
      <c r="A1" t="s">
        <v>0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3" t="s">
        <v>187</v>
      </c>
      <c r="L1" s="2" t="s">
        <v>10</v>
      </c>
      <c r="M1" s="2" t="s">
        <v>12</v>
      </c>
      <c r="N1" s="2" t="s">
        <v>11</v>
      </c>
      <c r="O1" s="2" t="s">
        <v>13</v>
      </c>
      <c r="P1" t="s">
        <v>14</v>
      </c>
    </row>
    <row r="2" spans="1:16">
      <c r="A2" t="s">
        <v>188</v>
      </c>
      <c r="B2" s="2">
        <v>81</v>
      </c>
      <c r="C2" s="2">
        <v>86</v>
      </c>
      <c r="D2" s="2">
        <v>91</v>
      </c>
      <c r="E2" s="2">
        <v>84</v>
      </c>
      <c r="F2" s="4">
        <f>(B2+C2+D2+E2)/4</f>
        <v>85.5</v>
      </c>
      <c r="G2" s="2">
        <v>88</v>
      </c>
      <c r="H2" s="2">
        <v>96</v>
      </c>
      <c r="I2" s="2">
        <v>59</v>
      </c>
      <c r="J2" s="2">
        <v>91</v>
      </c>
      <c r="K2" s="3">
        <v>84</v>
      </c>
      <c r="L2" s="4">
        <f>(K2*0.7)+(F2*0.3)</f>
        <v>84.45</v>
      </c>
      <c r="M2" s="2">
        <v>88</v>
      </c>
      <c r="N2" s="1">
        <f>(L2+M2)/2</f>
        <v>86.225</v>
      </c>
      <c r="O2" s="1">
        <f>((L2*0.6)+(M2*0.2)+(N2*0.2))</f>
        <v>85.515</v>
      </c>
      <c r="P2" t="s">
        <v>102</v>
      </c>
    </row>
    <row r="3" spans="1:16">
      <c r="A3" t="s">
        <v>189</v>
      </c>
      <c r="B3" s="2">
        <v>91</v>
      </c>
      <c r="C3" s="2">
        <v>87</v>
      </c>
      <c r="D3" s="2">
        <v>66</v>
      </c>
      <c r="E3" s="2">
        <v>56</v>
      </c>
      <c r="F3" s="4">
        <f>(B3+C3+D3+E3)/4</f>
        <v>75</v>
      </c>
      <c r="G3" s="2">
        <v>66</v>
      </c>
      <c r="H3" s="2">
        <v>91</v>
      </c>
      <c r="I3" s="2">
        <v>73</v>
      </c>
      <c r="J3" s="2">
        <v>94</v>
      </c>
      <c r="K3" s="3">
        <f t="shared" ref="K3:K19" si="0">(G3+H3+I3+J3)/4</f>
        <v>81</v>
      </c>
      <c r="L3" s="4">
        <f t="shared" ref="L3:L20" si="1">(K3*0.7)+(F3*0.3)</f>
        <v>79.2</v>
      </c>
      <c r="M3" s="2">
        <v>77</v>
      </c>
      <c r="N3" s="1">
        <v>0</v>
      </c>
      <c r="O3" s="1">
        <f t="shared" ref="O3:O20" si="2">((L3*0.6)+(M3*0.2)+(N3*0.2))</f>
        <v>62.92</v>
      </c>
      <c r="P3" t="s">
        <v>17</v>
      </c>
    </row>
    <row r="4" spans="1:16">
      <c r="A4" t="s">
        <v>21</v>
      </c>
      <c r="B4" s="2">
        <v>75</v>
      </c>
      <c r="C4" s="2">
        <v>88</v>
      </c>
      <c r="D4" s="2">
        <v>66</v>
      </c>
      <c r="E4" s="2">
        <v>86</v>
      </c>
      <c r="F4" s="4">
        <f t="shared" ref="F4:F20" si="3">(B4+C4+D4+E4)/4</f>
        <v>78.75</v>
      </c>
      <c r="G4" s="2">
        <v>79</v>
      </c>
      <c r="H4" s="2">
        <v>86</v>
      </c>
      <c r="I4" s="2">
        <v>60</v>
      </c>
      <c r="J4" s="2">
        <v>94</v>
      </c>
      <c r="K4" s="3">
        <v>80</v>
      </c>
      <c r="L4" s="4">
        <f t="shared" si="1"/>
        <v>79.625</v>
      </c>
      <c r="M4" s="2">
        <v>62</v>
      </c>
      <c r="N4" s="1">
        <f t="shared" ref="N4:N20" si="4">(L4+M4)/2</f>
        <v>70.8125</v>
      </c>
      <c r="O4" s="1">
        <f t="shared" si="2"/>
        <v>74.3375</v>
      </c>
      <c r="P4" t="s">
        <v>17</v>
      </c>
    </row>
    <row r="5" spans="1:16">
      <c r="A5" t="s">
        <v>190</v>
      </c>
      <c r="B5" s="2">
        <v>78</v>
      </c>
      <c r="C5" s="2">
        <v>76</v>
      </c>
      <c r="D5" s="2">
        <v>50</v>
      </c>
      <c r="E5" s="2">
        <v>60</v>
      </c>
      <c r="F5" s="4">
        <f t="shared" si="3"/>
        <v>66</v>
      </c>
      <c r="G5" s="2">
        <v>79</v>
      </c>
      <c r="H5" s="2">
        <v>86</v>
      </c>
      <c r="I5" s="2">
        <v>60</v>
      </c>
      <c r="J5" s="2">
        <v>94</v>
      </c>
      <c r="K5" s="3">
        <v>80</v>
      </c>
      <c r="L5" s="4">
        <f t="shared" si="1"/>
        <v>75.8</v>
      </c>
      <c r="M5" s="2">
        <v>60</v>
      </c>
      <c r="N5" s="1">
        <f t="shared" si="4"/>
        <v>67.9</v>
      </c>
      <c r="O5" s="1">
        <f t="shared" si="2"/>
        <v>71.06</v>
      </c>
      <c r="P5" t="s">
        <v>17</v>
      </c>
    </row>
    <row r="6" spans="1:16">
      <c r="A6" t="s">
        <v>191</v>
      </c>
      <c r="B6" s="2">
        <v>70</v>
      </c>
      <c r="C6" s="2">
        <v>79</v>
      </c>
      <c r="D6" s="2">
        <v>51</v>
      </c>
      <c r="E6" s="2">
        <v>70</v>
      </c>
      <c r="F6" s="4">
        <f t="shared" si="3"/>
        <v>67.5</v>
      </c>
      <c r="G6" s="2">
        <v>67</v>
      </c>
      <c r="H6" s="2">
        <v>90</v>
      </c>
      <c r="I6" s="2">
        <v>91</v>
      </c>
      <c r="J6" s="2">
        <v>84</v>
      </c>
      <c r="K6" s="3">
        <f t="shared" si="0"/>
        <v>83</v>
      </c>
      <c r="L6" s="4">
        <f t="shared" si="1"/>
        <v>78.35</v>
      </c>
      <c r="M6" s="2">
        <v>68</v>
      </c>
      <c r="N6" s="1">
        <f t="shared" si="4"/>
        <v>73.175</v>
      </c>
      <c r="O6" s="1">
        <f t="shared" si="2"/>
        <v>75.245</v>
      </c>
      <c r="P6" t="s">
        <v>17</v>
      </c>
    </row>
    <row r="7" spans="1:16">
      <c r="A7" t="s">
        <v>192</v>
      </c>
      <c r="B7" s="2">
        <v>89</v>
      </c>
      <c r="C7" s="2">
        <v>90</v>
      </c>
      <c r="D7" s="2">
        <v>71</v>
      </c>
      <c r="E7" s="2">
        <v>96</v>
      </c>
      <c r="F7" s="4">
        <f t="shared" si="3"/>
        <v>86.5</v>
      </c>
      <c r="G7" s="2">
        <v>74</v>
      </c>
      <c r="H7" s="2">
        <v>74</v>
      </c>
      <c r="I7" s="2">
        <v>79</v>
      </c>
      <c r="J7" s="2">
        <v>98</v>
      </c>
      <c r="K7" s="3">
        <v>81</v>
      </c>
      <c r="L7" s="4">
        <f t="shared" si="1"/>
        <v>82.65</v>
      </c>
      <c r="M7" s="2">
        <v>73</v>
      </c>
      <c r="N7" s="1">
        <f t="shared" si="4"/>
        <v>77.825</v>
      </c>
      <c r="O7" s="1">
        <f t="shared" si="2"/>
        <v>79.755</v>
      </c>
      <c r="P7" t="s">
        <v>102</v>
      </c>
    </row>
    <row r="8" spans="1:16">
      <c r="A8" t="s">
        <v>193</v>
      </c>
      <c r="B8" s="2">
        <v>93</v>
      </c>
      <c r="C8" s="2">
        <v>92</v>
      </c>
      <c r="D8" s="2">
        <v>84</v>
      </c>
      <c r="E8" s="2">
        <v>64</v>
      </c>
      <c r="F8" s="4">
        <f t="shared" si="3"/>
        <v>83.25</v>
      </c>
      <c r="G8" s="2">
        <v>80</v>
      </c>
      <c r="H8" s="2">
        <v>82</v>
      </c>
      <c r="I8" s="2">
        <v>66</v>
      </c>
      <c r="J8" s="2">
        <v>73</v>
      </c>
      <c r="K8" s="3">
        <v>75</v>
      </c>
      <c r="L8" s="4">
        <f t="shared" si="1"/>
        <v>77.475</v>
      </c>
      <c r="M8" s="2">
        <v>78</v>
      </c>
      <c r="N8" s="1">
        <f t="shared" si="4"/>
        <v>77.7375</v>
      </c>
      <c r="O8" s="1">
        <f t="shared" si="2"/>
        <v>77.6325</v>
      </c>
      <c r="P8" t="s">
        <v>17</v>
      </c>
    </row>
    <row r="9" spans="1:16">
      <c r="A9" t="s">
        <v>194</v>
      </c>
      <c r="B9" s="2">
        <v>84</v>
      </c>
      <c r="C9" s="2">
        <v>68</v>
      </c>
      <c r="D9" s="2">
        <v>82</v>
      </c>
      <c r="E9" s="2">
        <v>72</v>
      </c>
      <c r="F9" s="4">
        <f t="shared" si="3"/>
        <v>76.5</v>
      </c>
      <c r="G9" s="2">
        <v>84</v>
      </c>
      <c r="H9" s="2">
        <v>92</v>
      </c>
      <c r="I9" s="2">
        <v>80</v>
      </c>
      <c r="J9" s="2">
        <v>99</v>
      </c>
      <c r="K9" s="3">
        <v>89</v>
      </c>
      <c r="L9" s="4">
        <f t="shared" si="1"/>
        <v>85.25</v>
      </c>
      <c r="M9" s="2">
        <v>71</v>
      </c>
      <c r="N9" s="1">
        <f t="shared" si="4"/>
        <v>78.125</v>
      </c>
      <c r="O9" s="1">
        <f t="shared" si="2"/>
        <v>80.975</v>
      </c>
      <c r="P9" t="s">
        <v>102</v>
      </c>
    </row>
    <row r="10" spans="1:16">
      <c r="A10" t="s">
        <v>195</v>
      </c>
      <c r="B10" s="2">
        <v>81</v>
      </c>
      <c r="C10" s="2">
        <v>90</v>
      </c>
      <c r="D10" s="2">
        <v>87</v>
      </c>
      <c r="E10" s="2">
        <v>92</v>
      </c>
      <c r="F10" s="4">
        <f t="shared" si="3"/>
        <v>87.5</v>
      </c>
      <c r="G10" s="2">
        <v>76</v>
      </c>
      <c r="H10" s="2">
        <v>88</v>
      </c>
      <c r="I10" s="2">
        <v>88</v>
      </c>
      <c r="J10" s="2">
        <v>96</v>
      </c>
      <c r="K10" s="3">
        <f t="shared" si="0"/>
        <v>87</v>
      </c>
      <c r="L10" s="4">
        <f t="shared" si="1"/>
        <v>87.15</v>
      </c>
      <c r="M10" s="2">
        <v>78</v>
      </c>
      <c r="N10" s="1">
        <f t="shared" si="4"/>
        <v>82.575</v>
      </c>
      <c r="O10" s="1">
        <f t="shared" si="2"/>
        <v>84.405</v>
      </c>
      <c r="P10" t="s">
        <v>102</v>
      </c>
    </row>
    <row r="11" spans="1:16">
      <c r="A11" t="s">
        <v>196</v>
      </c>
      <c r="B11" s="2">
        <v>83</v>
      </c>
      <c r="C11" s="2">
        <v>93</v>
      </c>
      <c r="D11" s="2">
        <v>75</v>
      </c>
      <c r="E11" s="2">
        <v>77</v>
      </c>
      <c r="F11" s="4">
        <f t="shared" si="3"/>
        <v>82</v>
      </c>
      <c r="G11" s="2">
        <v>78</v>
      </c>
      <c r="H11" s="2">
        <v>86</v>
      </c>
      <c r="I11" s="2">
        <v>73</v>
      </c>
      <c r="J11" s="2">
        <v>99</v>
      </c>
      <c r="K11" s="3">
        <f t="shared" si="0"/>
        <v>84</v>
      </c>
      <c r="L11" s="4">
        <f t="shared" si="1"/>
        <v>83.4</v>
      </c>
      <c r="M11" s="2">
        <v>66</v>
      </c>
      <c r="N11" s="1">
        <f t="shared" si="4"/>
        <v>74.7</v>
      </c>
      <c r="O11" s="1">
        <f t="shared" si="2"/>
        <v>78.18</v>
      </c>
      <c r="P11" t="s">
        <v>17</v>
      </c>
    </row>
    <row r="12" spans="1:16">
      <c r="A12" t="s">
        <v>197</v>
      </c>
      <c r="B12" s="2">
        <v>80</v>
      </c>
      <c r="C12" s="2">
        <v>88</v>
      </c>
      <c r="D12" s="2">
        <v>86</v>
      </c>
      <c r="E12" s="2">
        <v>98</v>
      </c>
      <c r="F12" s="4">
        <f t="shared" si="3"/>
        <v>88</v>
      </c>
      <c r="G12" s="2">
        <v>65</v>
      </c>
      <c r="H12" s="2">
        <v>78</v>
      </c>
      <c r="I12" s="2">
        <v>87</v>
      </c>
      <c r="J12" s="2">
        <v>92</v>
      </c>
      <c r="K12" s="3">
        <v>81</v>
      </c>
      <c r="L12" s="4">
        <f t="shared" si="1"/>
        <v>83.1</v>
      </c>
      <c r="M12" s="2">
        <v>86</v>
      </c>
      <c r="N12" s="1">
        <f t="shared" si="4"/>
        <v>84.55</v>
      </c>
      <c r="O12" s="1">
        <f t="shared" si="2"/>
        <v>83.97</v>
      </c>
      <c r="P12" t="s">
        <v>102</v>
      </c>
    </row>
    <row r="13" spans="1:16">
      <c r="A13" t="s">
        <v>198</v>
      </c>
      <c r="B13" s="2">
        <v>80</v>
      </c>
      <c r="C13" s="2">
        <v>68</v>
      </c>
      <c r="D13" s="2">
        <v>78</v>
      </c>
      <c r="E13" s="2">
        <v>90</v>
      </c>
      <c r="F13" s="4">
        <f t="shared" si="3"/>
        <v>79</v>
      </c>
      <c r="G13" s="2">
        <v>87</v>
      </c>
      <c r="H13" s="2">
        <v>84</v>
      </c>
      <c r="I13" s="2">
        <v>88</v>
      </c>
      <c r="J13" s="2">
        <v>73</v>
      </c>
      <c r="K13" s="3">
        <f t="shared" si="0"/>
        <v>83</v>
      </c>
      <c r="L13" s="4">
        <f t="shared" si="1"/>
        <v>81.8</v>
      </c>
      <c r="M13" s="2">
        <v>74</v>
      </c>
      <c r="N13" s="1">
        <f t="shared" si="4"/>
        <v>77.9</v>
      </c>
      <c r="O13" s="1">
        <f t="shared" si="2"/>
        <v>79.46</v>
      </c>
      <c r="P13" t="s">
        <v>17</v>
      </c>
    </row>
    <row r="14" spans="1:16">
      <c r="A14" t="s">
        <v>199</v>
      </c>
      <c r="B14" s="2">
        <v>75</v>
      </c>
      <c r="C14" s="2">
        <v>70</v>
      </c>
      <c r="D14" s="2">
        <v>60</v>
      </c>
      <c r="E14" s="2">
        <v>48</v>
      </c>
      <c r="F14" s="4">
        <f t="shared" si="3"/>
        <v>63.25</v>
      </c>
      <c r="G14" s="2">
        <v>89</v>
      </c>
      <c r="H14" s="2">
        <v>92</v>
      </c>
      <c r="I14" s="2">
        <v>91</v>
      </c>
      <c r="J14" s="2">
        <v>95</v>
      </c>
      <c r="K14" s="3">
        <v>92</v>
      </c>
      <c r="L14" s="4">
        <f t="shared" si="1"/>
        <v>83.375</v>
      </c>
      <c r="M14" s="2">
        <v>60</v>
      </c>
      <c r="N14" s="1">
        <f t="shared" si="4"/>
        <v>71.6875</v>
      </c>
      <c r="O14" s="1">
        <f t="shared" si="2"/>
        <v>76.3625</v>
      </c>
      <c r="P14" t="s">
        <v>17</v>
      </c>
    </row>
    <row r="15" spans="1:16">
      <c r="A15" t="s">
        <v>200</v>
      </c>
      <c r="B15" s="2">
        <v>85</v>
      </c>
      <c r="C15" s="2">
        <v>62</v>
      </c>
      <c r="D15" s="2">
        <v>66</v>
      </c>
      <c r="E15" s="2">
        <v>60</v>
      </c>
      <c r="F15" s="4">
        <f t="shared" si="3"/>
        <v>68.25</v>
      </c>
      <c r="G15" s="2">
        <v>84</v>
      </c>
      <c r="H15" s="2">
        <v>74</v>
      </c>
      <c r="I15" s="2">
        <v>63</v>
      </c>
      <c r="J15" s="2">
        <v>88</v>
      </c>
      <c r="K15" s="3">
        <v>77</v>
      </c>
      <c r="L15" s="4">
        <f t="shared" si="1"/>
        <v>74.375</v>
      </c>
      <c r="M15" s="2">
        <v>78</v>
      </c>
      <c r="N15" s="1">
        <f t="shared" si="4"/>
        <v>76.1875</v>
      </c>
      <c r="O15" s="1">
        <f t="shared" si="2"/>
        <v>75.4625</v>
      </c>
      <c r="P15" t="s">
        <v>17</v>
      </c>
    </row>
    <row r="16" spans="1:16">
      <c r="A16" t="s">
        <v>201</v>
      </c>
      <c r="B16" s="2">
        <v>86</v>
      </c>
      <c r="C16" s="2">
        <v>83</v>
      </c>
      <c r="D16" s="2">
        <v>78</v>
      </c>
      <c r="E16" s="2">
        <v>60</v>
      </c>
      <c r="F16" s="4">
        <f t="shared" si="3"/>
        <v>76.75</v>
      </c>
      <c r="G16" s="2">
        <v>69</v>
      </c>
      <c r="H16" s="2">
        <v>72</v>
      </c>
      <c r="I16" s="2">
        <v>66</v>
      </c>
      <c r="J16" s="2">
        <v>98</v>
      </c>
      <c r="K16" s="3">
        <v>76</v>
      </c>
      <c r="L16" s="4">
        <f t="shared" si="1"/>
        <v>76.225</v>
      </c>
      <c r="M16" s="2">
        <v>66</v>
      </c>
      <c r="N16" s="1">
        <f t="shared" si="4"/>
        <v>71.1125</v>
      </c>
      <c r="O16" s="1">
        <f t="shared" si="2"/>
        <v>73.1575</v>
      </c>
      <c r="P16" t="s">
        <v>17</v>
      </c>
    </row>
    <row r="17" spans="1:16">
      <c r="A17" t="s">
        <v>202</v>
      </c>
      <c r="B17" s="2">
        <v>91</v>
      </c>
      <c r="C17" s="2">
        <v>86</v>
      </c>
      <c r="D17" s="2">
        <v>89</v>
      </c>
      <c r="E17" s="2">
        <v>90</v>
      </c>
      <c r="F17" s="4">
        <f t="shared" si="3"/>
        <v>89</v>
      </c>
      <c r="G17" s="2">
        <v>83</v>
      </c>
      <c r="H17" s="2">
        <v>96</v>
      </c>
      <c r="I17" s="2">
        <v>84</v>
      </c>
      <c r="J17" s="2">
        <v>86</v>
      </c>
      <c r="K17" s="3">
        <v>87</v>
      </c>
      <c r="L17" s="4">
        <f t="shared" si="1"/>
        <v>87.6</v>
      </c>
      <c r="M17" s="2">
        <v>81</v>
      </c>
      <c r="N17" s="1">
        <f t="shared" si="4"/>
        <v>84.3</v>
      </c>
      <c r="O17" s="1">
        <f t="shared" si="2"/>
        <v>85.62</v>
      </c>
      <c r="P17" t="s">
        <v>102</v>
      </c>
    </row>
    <row r="18" spans="1:16">
      <c r="A18" t="s">
        <v>203</v>
      </c>
      <c r="B18" s="2">
        <v>86</v>
      </c>
      <c r="C18" s="2">
        <v>83</v>
      </c>
      <c r="D18" s="2">
        <v>62</v>
      </c>
      <c r="E18" s="2">
        <v>52</v>
      </c>
      <c r="F18" s="4">
        <f t="shared" si="3"/>
        <v>70.75</v>
      </c>
      <c r="G18" s="2">
        <v>77</v>
      </c>
      <c r="H18" s="2">
        <v>94</v>
      </c>
      <c r="I18" s="2">
        <v>52</v>
      </c>
      <c r="J18" s="2">
        <v>83</v>
      </c>
      <c r="K18" s="3">
        <v>77</v>
      </c>
      <c r="L18" s="4">
        <f t="shared" si="1"/>
        <v>75.125</v>
      </c>
      <c r="M18" s="2">
        <v>72</v>
      </c>
      <c r="N18" s="1">
        <f t="shared" si="4"/>
        <v>73.5625</v>
      </c>
      <c r="O18" s="1">
        <f t="shared" si="2"/>
        <v>74.1875</v>
      </c>
      <c r="P18" t="s">
        <v>17</v>
      </c>
    </row>
    <row r="19" spans="1:16">
      <c r="A19" t="s">
        <v>204</v>
      </c>
      <c r="B19" s="2">
        <v>78</v>
      </c>
      <c r="C19" s="2">
        <v>64</v>
      </c>
      <c r="D19" s="2">
        <v>82</v>
      </c>
      <c r="E19" s="2">
        <v>80</v>
      </c>
      <c r="F19" s="4">
        <f t="shared" si="3"/>
        <v>76</v>
      </c>
      <c r="G19" s="2">
        <v>68</v>
      </c>
      <c r="H19" s="2">
        <v>82</v>
      </c>
      <c r="I19" s="2">
        <v>82</v>
      </c>
      <c r="J19" s="2">
        <v>80</v>
      </c>
      <c r="K19" s="3">
        <f t="shared" si="0"/>
        <v>78</v>
      </c>
      <c r="L19" s="4">
        <f t="shared" si="1"/>
        <v>77.4</v>
      </c>
      <c r="M19" s="2">
        <v>87</v>
      </c>
      <c r="N19" s="1">
        <f t="shared" si="4"/>
        <v>82.2</v>
      </c>
      <c r="O19" s="1">
        <f t="shared" si="2"/>
        <v>80.28</v>
      </c>
      <c r="P19" t="s">
        <v>102</v>
      </c>
    </row>
    <row r="20" spans="1:16">
      <c r="A20" t="s">
        <v>205</v>
      </c>
      <c r="B20" s="2">
        <v>78</v>
      </c>
      <c r="C20" s="2">
        <v>84</v>
      </c>
      <c r="D20" s="2">
        <v>88</v>
      </c>
      <c r="E20" s="2">
        <v>90</v>
      </c>
      <c r="F20" s="4">
        <f t="shared" si="3"/>
        <v>85</v>
      </c>
      <c r="G20" s="2">
        <v>84</v>
      </c>
      <c r="H20" s="2">
        <v>90</v>
      </c>
      <c r="I20" s="2">
        <v>67</v>
      </c>
      <c r="J20" s="2">
        <v>92</v>
      </c>
      <c r="K20" s="3">
        <v>83</v>
      </c>
      <c r="L20" s="4">
        <f t="shared" si="1"/>
        <v>83.6</v>
      </c>
      <c r="M20" s="2">
        <v>73</v>
      </c>
      <c r="N20" s="1">
        <f t="shared" si="4"/>
        <v>78.3</v>
      </c>
      <c r="O20" s="1">
        <f t="shared" si="2"/>
        <v>80.42</v>
      </c>
      <c r="P20" t="s">
        <v>102</v>
      </c>
    </row>
    <row r="23" spans="1:16">
      <c r="E23" t="s">
        <v>206</v>
      </c>
    </row>
  </sheetData>
  <pageMargins left="0.7" right="0.7" top="0.75" bottom="0.75" header="0.3" footer="0.3"/>
  <pageSetup paperSize="9" fitToHeight="0" orientation="landscape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4"/>
  <sheetViews>
    <sheetView workbookViewId="0">
      <selection activeCell="F16" sqref="F16"/>
    </sheetView>
  </sheetViews>
  <sheetFormatPr defaultColWidth="9" defaultRowHeight="15"/>
  <cols>
    <col min="1" max="1" width="29.552380952381" customWidth="1"/>
    <col min="3" max="3" width="9" customWidth="1"/>
    <col min="6" max="6" width="9.43809523809524" customWidth="1"/>
  </cols>
  <sheetData>
    <row r="1" spans="1:9">
      <c r="A1" t="s">
        <v>0</v>
      </c>
      <c r="B1" t="s">
        <v>207</v>
      </c>
      <c r="C1" t="s">
        <v>208</v>
      </c>
      <c r="D1" t="s">
        <v>209</v>
      </c>
      <c r="E1" t="s">
        <v>10</v>
      </c>
      <c r="F1" t="s">
        <v>56</v>
      </c>
      <c r="G1" t="s">
        <v>12</v>
      </c>
      <c r="H1" t="s">
        <v>13</v>
      </c>
      <c r="I1" t="s">
        <v>14</v>
      </c>
    </row>
    <row r="2" spans="1:9">
      <c r="A2" t="s">
        <v>210</v>
      </c>
      <c r="B2">
        <v>79</v>
      </c>
      <c r="C2">
        <v>89</v>
      </c>
      <c r="D2">
        <v>89</v>
      </c>
      <c r="E2" s="1">
        <f>((B2*0.2)+(C2*0.1)+(D2*0.7))</f>
        <v>87</v>
      </c>
      <c r="F2" s="1">
        <f>(D2+E2)/2</f>
        <v>88</v>
      </c>
      <c r="G2" s="1">
        <v>69</v>
      </c>
      <c r="H2" s="1">
        <f>((F2*0.2)+(G2*0.2)+(E2*0.6))-5</f>
        <v>78.6</v>
      </c>
      <c r="I2" t="s">
        <v>17</v>
      </c>
    </row>
    <row r="3" spans="1:9">
      <c r="A3" t="s">
        <v>211</v>
      </c>
      <c r="B3">
        <v>83</v>
      </c>
      <c r="C3">
        <v>84</v>
      </c>
      <c r="D3">
        <v>88</v>
      </c>
      <c r="E3" s="1">
        <f t="shared" ref="E3:E11" si="0">((B3*0.2)+(C3*0.1)+(D3*0.7))</f>
        <v>86.6</v>
      </c>
      <c r="F3" s="1">
        <f t="shared" ref="F3:F11" si="1">(D3+E3)/2</f>
        <v>87.3</v>
      </c>
      <c r="G3" s="1">
        <v>62.3333333333333</v>
      </c>
      <c r="H3" s="1">
        <f t="shared" ref="H3:H11" si="2">((F3*0.2)+(G3*0.2)+(E3*0.6))-5</f>
        <v>76.8866666666667</v>
      </c>
      <c r="I3" t="s">
        <v>17</v>
      </c>
    </row>
    <row r="4" spans="1:9">
      <c r="A4" t="s">
        <v>212</v>
      </c>
      <c r="B4">
        <v>81</v>
      </c>
      <c r="C4">
        <v>90</v>
      </c>
      <c r="D4">
        <v>88</v>
      </c>
      <c r="E4" s="1">
        <f t="shared" si="0"/>
        <v>86.8</v>
      </c>
      <c r="F4" s="1">
        <f t="shared" si="1"/>
        <v>87.4</v>
      </c>
      <c r="G4" s="1">
        <v>69.3333333333333</v>
      </c>
      <c r="H4" s="1">
        <f t="shared" si="2"/>
        <v>78.4266666666667</v>
      </c>
      <c r="I4" t="s">
        <v>17</v>
      </c>
    </row>
    <row r="5" spans="1:9">
      <c r="A5" t="s">
        <v>213</v>
      </c>
      <c r="B5">
        <v>89</v>
      </c>
      <c r="C5">
        <v>84</v>
      </c>
      <c r="D5">
        <v>90</v>
      </c>
      <c r="E5" s="1">
        <f t="shared" si="0"/>
        <v>89.2</v>
      </c>
      <c r="F5" s="1">
        <f t="shared" si="1"/>
        <v>89.6</v>
      </c>
      <c r="G5" s="1">
        <v>68.3333333333333</v>
      </c>
      <c r="H5" s="1">
        <f t="shared" si="2"/>
        <v>80.1066666666667</v>
      </c>
      <c r="I5" t="s">
        <v>102</v>
      </c>
    </row>
    <row r="6" spans="1:9">
      <c r="A6" t="s">
        <v>214</v>
      </c>
      <c r="B6">
        <v>80</v>
      </c>
      <c r="C6">
        <v>96</v>
      </c>
      <c r="D6">
        <v>90</v>
      </c>
      <c r="E6" s="1">
        <f t="shared" si="0"/>
        <v>88.6</v>
      </c>
      <c r="F6" s="1">
        <f t="shared" si="1"/>
        <v>89.3</v>
      </c>
      <c r="G6" s="1">
        <v>63</v>
      </c>
      <c r="H6" s="1">
        <f t="shared" si="2"/>
        <v>78.62</v>
      </c>
      <c r="I6" t="s">
        <v>17</v>
      </c>
    </row>
    <row r="7" spans="1:9">
      <c r="A7" t="s">
        <v>215</v>
      </c>
      <c r="B7">
        <v>57</v>
      </c>
      <c r="C7">
        <v>94</v>
      </c>
      <c r="D7">
        <v>88</v>
      </c>
      <c r="E7" s="1">
        <f t="shared" si="0"/>
        <v>82.4</v>
      </c>
      <c r="F7" s="1">
        <f t="shared" si="1"/>
        <v>85.2</v>
      </c>
      <c r="G7" s="1">
        <v>37.6666666666667</v>
      </c>
      <c r="H7" s="1">
        <f t="shared" si="2"/>
        <v>69.0133333333333</v>
      </c>
      <c r="I7" t="s">
        <v>17</v>
      </c>
    </row>
    <row r="8" spans="1:9">
      <c r="A8" t="s">
        <v>216</v>
      </c>
      <c r="B8">
        <v>92</v>
      </c>
      <c r="C8">
        <v>96</v>
      </c>
      <c r="D8">
        <v>90</v>
      </c>
      <c r="E8" s="1">
        <f t="shared" si="0"/>
        <v>91</v>
      </c>
      <c r="F8" s="1">
        <f t="shared" si="1"/>
        <v>90.5</v>
      </c>
      <c r="G8" s="1">
        <v>83</v>
      </c>
      <c r="H8" s="1">
        <f t="shared" si="2"/>
        <v>84.3</v>
      </c>
      <c r="I8" t="s">
        <v>102</v>
      </c>
    </row>
    <row r="9" spans="1:9">
      <c r="A9" t="s">
        <v>217</v>
      </c>
      <c r="B9">
        <v>89</v>
      </c>
      <c r="C9">
        <v>97</v>
      </c>
      <c r="D9">
        <v>89</v>
      </c>
      <c r="E9" s="1">
        <f t="shared" si="0"/>
        <v>89.8</v>
      </c>
      <c r="F9" s="1">
        <f t="shared" si="1"/>
        <v>89.4</v>
      </c>
      <c r="G9" s="1">
        <v>77.3333333333333</v>
      </c>
      <c r="H9" s="1">
        <f t="shared" si="2"/>
        <v>82.2266666666667</v>
      </c>
      <c r="I9" t="s">
        <v>102</v>
      </c>
    </row>
    <row r="10" spans="1:9">
      <c r="A10" t="s">
        <v>218</v>
      </c>
      <c r="B10">
        <v>81</v>
      </c>
      <c r="C10">
        <v>85</v>
      </c>
      <c r="D10">
        <v>89</v>
      </c>
      <c r="E10" s="1">
        <f t="shared" si="0"/>
        <v>87</v>
      </c>
      <c r="F10" s="1">
        <f t="shared" si="1"/>
        <v>88</v>
      </c>
      <c r="G10" s="1">
        <v>62</v>
      </c>
      <c r="H10" s="1">
        <f t="shared" si="2"/>
        <v>77.2</v>
      </c>
      <c r="I10" t="s">
        <v>17</v>
      </c>
    </row>
    <row r="11" spans="1:9">
      <c r="A11" t="s">
        <v>219</v>
      </c>
      <c r="B11">
        <v>75</v>
      </c>
      <c r="C11">
        <v>91</v>
      </c>
      <c r="D11">
        <v>88</v>
      </c>
      <c r="E11" s="1">
        <f t="shared" si="0"/>
        <v>85.7</v>
      </c>
      <c r="F11" s="1">
        <f t="shared" si="1"/>
        <v>86.85</v>
      </c>
      <c r="G11" s="1">
        <v>65.3333333333333</v>
      </c>
      <c r="H11" s="1">
        <f t="shared" si="2"/>
        <v>76.8566666666667</v>
      </c>
      <c r="I11" t="s">
        <v>17</v>
      </c>
    </row>
    <row r="12" spans="1:9">
      <c r="E12" s="1"/>
    </row>
    <row r="14" spans="1:9">
      <c r="C14" t="s">
        <v>220</v>
      </c>
    </row>
  </sheetData>
  <pageMargins left="0.7" right="0.7" top="0.75" bottom="0.75" header="0.3" footer="0.3"/>
  <pageSetup paperSize="9" fitToHeight="0" orientation="landscape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0"/>
  <sheetViews>
    <sheetView workbookViewId="0">
      <selection activeCell="P28" sqref="P28"/>
    </sheetView>
  </sheetViews>
  <sheetFormatPr defaultColWidth="9" defaultRowHeight="15"/>
  <cols>
    <col min="1" max="1" width="15.1047619047619" customWidth="1"/>
    <col min="2" max="2" width="14.3333333333333" customWidth="1"/>
    <col min="3" max="3" width="5.43809523809524" customWidth="1"/>
    <col min="4" max="5" width="5.78095238095238" customWidth="1"/>
    <col min="6" max="6" width="5.1047619047619" customWidth="1"/>
    <col min="7" max="7" width="5.33333333333333" customWidth="1"/>
    <col min="8" max="9" width="5.1047619047619" customWidth="1"/>
    <col min="10" max="10" width="6.33333333333333" customWidth="1"/>
    <col min="11" max="11" width="5" customWidth="1"/>
    <col min="12" max="12" width="5.21904761904762" customWidth="1"/>
    <col min="13" max="14" width="5" customWidth="1"/>
    <col min="15" max="16" width="5.33333333333333" customWidth="1"/>
    <col min="17" max="17" width="6.33333333333333" customWidth="1"/>
    <col min="18" max="18" width="6.43809523809524" customWidth="1"/>
    <col min="19" max="19" width="9.43809523809524" customWidth="1"/>
    <col min="20" max="20" width="8" customWidth="1"/>
    <col min="21" max="21" width="6" customWidth="1"/>
    <col min="22" max="22" width="10.4380952380952" customWidth="1"/>
  </cols>
  <sheetData>
    <row r="1" spans="1:22">
      <c r="A1" t="s">
        <v>221</v>
      </c>
      <c r="B1" t="s">
        <v>108</v>
      </c>
      <c r="C1" t="s">
        <v>39</v>
      </c>
      <c r="D1" t="s">
        <v>40</v>
      </c>
      <c r="E1" t="s">
        <v>41</v>
      </c>
      <c r="F1" t="s">
        <v>42</v>
      </c>
      <c r="G1" t="s">
        <v>45</v>
      </c>
      <c r="H1" t="s">
        <v>46</v>
      </c>
      <c r="I1" t="s">
        <v>47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222</v>
      </c>
      <c r="Q1" t="s">
        <v>55</v>
      </c>
      <c r="R1" t="s">
        <v>10</v>
      </c>
      <c r="S1" t="s">
        <v>56</v>
      </c>
      <c r="T1" t="s">
        <v>57</v>
      </c>
      <c r="U1" t="s">
        <v>13</v>
      </c>
      <c r="V1" t="s">
        <v>139</v>
      </c>
    </row>
    <row r="2" spans="1:22">
      <c r="A2" t="s">
        <v>223</v>
      </c>
      <c r="B2" t="s">
        <v>224</v>
      </c>
      <c r="C2">
        <v>61</v>
      </c>
      <c r="D2">
        <v>73</v>
      </c>
      <c r="E2">
        <v>80</v>
      </c>
      <c r="F2">
        <v>66</v>
      </c>
      <c r="G2" s="1">
        <f>(C2+D2+E2+F2)/4</f>
        <v>70</v>
      </c>
      <c r="H2">
        <v>48</v>
      </c>
      <c r="I2">
        <v>90</v>
      </c>
      <c r="J2" s="1">
        <f>((H2+I2)/2)</f>
        <v>69</v>
      </c>
      <c r="K2">
        <v>84</v>
      </c>
      <c r="L2">
        <v>82</v>
      </c>
      <c r="M2">
        <v>67</v>
      </c>
      <c r="N2">
        <v>80</v>
      </c>
      <c r="O2">
        <v>68</v>
      </c>
      <c r="P2">
        <v>70</v>
      </c>
      <c r="Q2" s="1">
        <f>(K2+L2+M2+N2+O2+P2)/6</f>
        <v>75.1666666666667</v>
      </c>
      <c r="R2" s="1">
        <f>((G2*0.2)+(J2*0.1)+(Q2*0.7))</f>
        <v>73.5166666666667</v>
      </c>
      <c r="S2" s="1">
        <f>(P2+Q2+R2)/3</f>
        <v>72.8944444444444</v>
      </c>
      <c r="T2">
        <v>68</v>
      </c>
      <c r="U2" s="1">
        <f>((R2*0.6)+(S2*0.2)+(T2*0.2))</f>
        <v>72.2888888888889</v>
      </c>
      <c r="V2" t="s">
        <v>17</v>
      </c>
    </row>
    <row r="3" spans="1:22">
      <c r="A3" t="s">
        <v>225</v>
      </c>
      <c r="B3" t="s">
        <v>226</v>
      </c>
      <c r="C3">
        <v>57</v>
      </c>
      <c r="D3">
        <v>65</v>
      </c>
      <c r="E3">
        <v>68</v>
      </c>
      <c r="F3">
        <v>49</v>
      </c>
      <c r="G3" s="1">
        <f t="shared" ref="G3:G8" si="0">(C3+D3+E3+F3)/4</f>
        <v>59.75</v>
      </c>
      <c r="H3">
        <v>38</v>
      </c>
      <c r="I3">
        <v>83</v>
      </c>
      <c r="J3" s="1">
        <f t="shared" ref="J3:J8" si="1">((H3+I3)/2)</f>
        <v>60.5</v>
      </c>
      <c r="K3">
        <v>78</v>
      </c>
      <c r="L3">
        <v>83</v>
      </c>
      <c r="M3">
        <v>77</v>
      </c>
      <c r="N3">
        <v>76</v>
      </c>
      <c r="O3">
        <v>65</v>
      </c>
      <c r="P3">
        <v>70</v>
      </c>
      <c r="Q3" s="1">
        <f t="shared" ref="Q3:Q8" si="2">(K3+L3+M3+N3+O3+P3)/6</f>
        <v>74.8333333333333</v>
      </c>
      <c r="R3" s="1">
        <f t="shared" ref="R3:R8" si="3">((G3*0.2)+(J3*0.1)+(Q3*0.7))</f>
        <v>70.3833333333333</v>
      </c>
      <c r="S3" s="1">
        <f t="shared" ref="S3:S8" si="4">(P3+Q3+R3)/3</f>
        <v>71.7388888888889</v>
      </c>
      <c r="T3">
        <v>80</v>
      </c>
      <c r="U3" s="1">
        <f t="shared" ref="U3:U8" si="5">((R3*0.6)+(S3*0.2)+(T3*0.2))</f>
        <v>72.5777777777778</v>
      </c>
      <c r="V3" t="s">
        <v>17</v>
      </c>
    </row>
    <row r="4" spans="1:22">
      <c r="A4" t="s">
        <v>227</v>
      </c>
      <c r="B4" t="s">
        <v>228</v>
      </c>
      <c r="C4">
        <v>51</v>
      </c>
      <c r="D4">
        <v>73</v>
      </c>
      <c r="E4">
        <v>58</v>
      </c>
      <c r="F4">
        <v>73</v>
      </c>
      <c r="G4" s="1">
        <f t="shared" si="0"/>
        <v>63.75</v>
      </c>
      <c r="H4">
        <v>60</v>
      </c>
      <c r="I4">
        <v>90</v>
      </c>
      <c r="J4" s="1">
        <f t="shared" si="1"/>
        <v>75</v>
      </c>
      <c r="K4">
        <v>88</v>
      </c>
      <c r="L4">
        <v>87</v>
      </c>
      <c r="M4">
        <v>81</v>
      </c>
      <c r="N4">
        <v>90</v>
      </c>
      <c r="O4">
        <v>90</v>
      </c>
      <c r="P4">
        <v>80</v>
      </c>
      <c r="Q4" s="1">
        <f t="shared" si="2"/>
        <v>86</v>
      </c>
      <c r="R4" s="1">
        <f t="shared" si="3"/>
        <v>80.45</v>
      </c>
      <c r="S4" s="1">
        <f t="shared" si="4"/>
        <v>82.15</v>
      </c>
      <c r="T4">
        <v>72</v>
      </c>
      <c r="U4" s="1">
        <f t="shared" si="5"/>
        <v>79.1</v>
      </c>
      <c r="V4" t="s">
        <v>17</v>
      </c>
    </row>
    <row r="5" spans="1:22">
      <c r="A5" t="s">
        <v>229</v>
      </c>
      <c r="B5" t="s">
        <v>230</v>
      </c>
      <c r="C5">
        <v>66</v>
      </c>
      <c r="D5">
        <v>68</v>
      </c>
      <c r="E5">
        <v>54</v>
      </c>
      <c r="F5">
        <v>58</v>
      </c>
      <c r="G5" s="1">
        <f t="shared" si="0"/>
        <v>61.5</v>
      </c>
      <c r="H5">
        <v>50</v>
      </c>
      <c r="I5">
        <v>90</v>
      </c>
      <c r="J5" s="1">
        <f t="shared" si="1"/>
        <v>70</v>
      </c>
      <c r="K5">
        <v>90</v>
      </c>
      <c r="L5">
        <v>90</v>
      </c>
      <c r="M5">
        <v>72</v>
      </c>
      <c r="N5">
        <v>84</v>
      </c>
      <c r="O5">
        <v>79</v>
      </c>
      <c r="P5">
        <v>90</v>
      </c>
      <c r="Q5" s="1">
        <f t="shared" si="2"/>
        <v>84.1666666666667</v>
      </c>
      <c r="R5" s="1">
        <f t="shared" si="3"/>
        <v>78.2166666666667</v>
      </c>
      <c r="S5" s="1">
        <f t="shared" si="4"/>
        <v>84.1277777777778</v>
      </c>
      <c r="T5">
        <v>66</v>
      </c>
      <c r="U5" s="1">
        <f t="shared" si="5"/>
        <v>76.9555555555556</v>
      </c>
      <c r="V5" t="s">
        <v>17</v>
      </c>
    </row>
    <row r="6" spans="1:22">
      <c r="A6" t="s">
        <v>231</v>
      </c>
      <c r="B6" t="s">
        <v>232</v>
      </c>
      <c r="C6">
        <v>72</v>
      </c>
      <c r="D6">
        <v>82</v>
      </c>
      <c r="E6">
        <v>72</v>
      </c>
      <c r="F6">
        <v>68</v>
      </c>
      <c r="G6" s="1">
        <f t="shared" si="0"/>
        <v>73.5</v>
      </c>
      <c r="H6">
        <v>70</v>
      </c>
      <c r="I6">
        <v>97</v>
      </c>
      <c r="J6" s="1">
        <f t="shared" si="1"/>
        <v>83.5</v>
      </c>
      <c r="K6">
        <v>87</v>
      </c>
      <c r="L6">
        <v>94</v>
      </c>
      <c r="M6">
        <v>95</v>
      </c>
      <c r="N6">
        <v>87</v>
      </c>
      <c r="O6">
        <v>88</v>
      </c>
      <c r="P6">
        <v>91</v>
      </c>
      <c r="Q6" s="1">
        <f t="shared" si="2"/>
        <v>90.3333333333333</v>
      </c>
      <c r="R6" s="1">
        <f t="shared" si="3"/>
        <v>86.2833333333333</v>
      </c>
      <c r="S6" s="1">
        <f t="shared" si="4"/>
        <v>89.2055555555556</v>
      </c>
      <c r="T6">
        <v>80</v>
      </c>
      <c r="U6" s="1">
        <f t="shared" si="5"/>
        <v>85.6111111111111</v>
      </c>
      <c r="V6" t="s">
        <v>102</v>
      </c>
    </row>
    <row r="7" spans="1:22">
      <c r="A7" t="s">
        <v>233</v>
      </c>
      <c r="B7" t="s">
        <v>234</v>
      </c>
      <c r="C7">
        <v>44</v>
      </c>
      <c r="D7">
        <v>65</v>
      </c>
      <c r="E7">
        <v>53</v>
      </c>
      <c r="F7">
        <v>0</v>
      </c>
      <c r="G7" s="1">
        <f t="shared" si="0"/>
        <v>40.5</v>
      </c>
      <c r="H7">
        <v>40</v>
      </c>
      <c r="I7">
        <v>0</v>
      </c>
      <c r="J7" s="1">
        <f t="shared" si="1"/>
        <v>20</v>
      </c>
      <c r="K7">
        <v>73</v>
      </c>
      <c r="L7">
        <v>79</v>
      </c>
      <c r="M7">
        <v>64</v>
      </c>
      <c r="N7">
        <v>74</v>
      </c>
      <c r="O7">
        <v>0</v>
      </c>
      <c r="P7">
        <v>0</v>
      </c>
      <c r="Q7" s="1">
        <f t="shared" si="2"/>
        <v>48.3333333333333</v>
      </c>
      <c r="R7" s="1">
        <f t="shared" si="3"/>
        <v>43.9333333333333</v>
      </c>
      <c r="S7" s="1">
        <f t="shared" si="4"/>
        <v>30.7555555555556</v>
      </c>
      <c r="T7">
        <v>0</v>
      </c>
      <c r="U7" s="1">
        <f t="shared" si="5"/>
        <v>32.5111111111111</v>
      </c>
      <c r="V7" t="s">
        <v>235</v>
      </c>
    </row>
    <row r="8" spans="1:22">
      <c r="A8" t="s">
        <v>236</v>
      </c>
      <c r="B8" t="s">
        <v>237</v>
      </c>
      <c r="C8">
        <v>52</v>
      </c>
      <c r="D8">
        <v>63</v>
      </c>
      <c r="E8">
        <v>48</v>
      </c>
      <c r="F8">
        <v>38</v>
      </c>
      <c r="G8" s="1">
        <f t="shared" si="0"/>
        <v>50.25</v>
      </c>
      <c r="H8">
        <v>80</v>
      </c>
      <c r="I8">
        <v>77</v>
      </c>
      <c r="J8" s="1">
        <f t="shared" si="1"/>
        <v>78.5</v>
      </c>
      <c r="K8">
        <v>80</v>
      </c>
      <c r="L8">
        <v>68</v>
      </c>
      <c r="M8">
        <v>77</v>
      </c>
      <c r="N8">
        <v>77</v>
      </c>
      <c r="O8">
        <v>72</v>
      </c>
      <c r="P8">
        <v>80</v>
      </c>
      <c r="Q8" s="1">
        <f t="shared" si="2"/>
        <v>75.6666666666667</v>
      </c>
      <c r="R8" s="1">
        <f t="shared" si="3"/>
        <v>70.8666666666667</v>
      </c>
      <c r="S8" s="1">
        <f t="shared" si="4"/>
        <v>75.5111111111111</v>
      </c>
      <c r="T8">
        <v>68</v>
      </c>
      <c r="U8" s="1">
        <f t="shared" si="5"/>
        <v>71.2222222222222</v>
      </c>
      <c r="V8" t="s">
        <v>17</v>
      </c>
    </row>
    <row r="10" spans="1:22">
      <c r="G10" t="s">
        <v>238</v>
      </c>
    </row>
  </sheetData>
  <pageMargins left="0.7" right="0.7" top="0.75" bottom="0.75" header="0.3" footer="0.3"/>
  <pageSetup paperSize="9" scale="86" fitToHeight="0" orientation="landscape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9"/>
  <sheetViews>
    <sheetView workbookViewId="0">
      <selection activeCell="K31" sqref="K31"/>
    </sheetView>
  </sheetViews>
  <sheetFormatPr defaultColWidth="9" defaultRowHeight="15"/>
  <cols>
    <col min="1" max="1" width="24.552380952381" customWidth="1"/>
    <col min="2" max="2" width="6.33333333333333" customWidth="1"/>
    <col min="3" max="3" width="5.66666666666667" customWidth="1"/>
    <col min="4" max="5" width="5.88571428571429" customWidth="1"/>
    <col min="6" max="6" width="6.1047619047619" customWidth="1"/>
    <col min="7" max="7" width="5.78095238095238" customWidth="1"/>
    <col min="8" max="8" width="6.33333333333333" customWidth="1"/>
    <col min="9" max="9" width="6.55238095238095" customWidth="1"/>
    <col min="10" max="10" width="6.33333333333333" customWidth="1"/>
    <col min="11" max="12" width="6.1047619047619" customWidth="1"/>
    <col min="13" max="13" width="6.55238095238095" customWidth="1"/>
    <col min="14" max="14" width="6.33333333333333" customWidth="1"/>
    <col min="15" max="15" width="6" customWidth="1"/>
    <col min="16" max="16" width="8" customWidth="1"/>
    <col min="17" max="17" width="8.43809523809524" customWidth="1"/>
    <col min="18" max="18" width="7.21904761904762" customWidth="1"/>
  </cols>
  <sheetData>
    <row r="1" spans="1:19">
      <c r="A1" t="s">
        <v>0</v>
      </c>
      <c r="B1" t="s">
        <v>39</v>
      </c>
      <c r="C1" t="s">
        <v>40</v>
      </c>
      <c r="D1" t="s">
        <v>41</v>
      </c>
      <c r="E1" t="s">
        <v>45</v>
      </c>
      <c r="F1" t="s">
        <v>46</v>
      </c>
      <c r="G1" t="s">
        <v>47</v>
      </c>
      <c r="H1" t="s">
        <v>49</v>
      </c>
      <c r="I1" t="s">
        <v>109</v>
      </c>
      <c r="J1" t="s">
        <v>110</v>
      </c>
      <c r="K1" t="s">
        <v>239</v>
      </c>
      <c r="L1" t="s">
        <v>240</v>
      </c>
      <c r="M1" t="s">
        <v>241</v>
      </c>
      <c r="N1" t="s">
        <v>55</v>
      </c>
      <c r="O1" t="s">
        <v>10</v>
      </c>
      <c r="P1" t="s">
        <v>57</v>
      </c>
      <c r="Q1" t="s">
        <v>11</v>
      </c>
      <c r="R1" t="s">
        <v>13</v>
      </c>
      <c r="S1" t="s">
        <v>14</v>
      </c>
    </row>
    <row r="2" spans="1:19">
      <c r="A2" t="s">
        <v>242</v>
      </c>
      <c r="B2">
        <v>43</v>
      </c>
      <c r="C2">
        <v>30</v>
      </c>
      <c r="D2">
        <v>50</v>
      </c>
      <c r="E2" s="1">
        <f t="shared" ref="E2:E28" si="0">(B2+C2+D2)/3</f>
        <v>41</v>
      </c>
      <c r="F2">
        <v>50</v>
      </c>
      <c r="G2">
        <v>70</v>
      </c>
      <c r="H2" s="1">
        <f t="shared" ref="H2:H28" si="1">(F2+G2)/2</f>
        <v>60</v>
      </c>
      <c r="I2">
        <v>100</v>
      </c>
      <c r="J2">
        <v>80</v>
      </c>
      <c r="K2">
        <v>65</v>
      </c>
      <c r="L2">
        <v>100</v>
      </c>
      <c r="M2">
        <v>100</v>
      </c>
      <c r="N2">
        <f t="shared" ref="N2:N28" si="2">(I2+J2+K2+L2+M2)/5</f>
        <v>89</v>
      </c>
      <c r="O2" s="1">
        <f t="shared" ref="O2:O28" si="3">((E2*0.2)+(H2*0.1)+(N2*0.7))</f>
        <v>76.5</v>
      </c>
      <c r="P2">
        <v>38</v>
      </c>
      <c r="Q2" s="1">
        <v>9.5</v>
      </c>
      <c r="R2" s="1">
        <f t="shared" ref="R2:R28" si="4">((O2*0.6)+(P2*0.2)+(Q2*0))</f>
        <v>53.5</v>
      </c>
      <c r="S2" t="s">
        <v>19</v>
      </c>
    </row>
    <row r="3" spans="1:19">
      <c r="A3" t="s">
        <v>243</v>
      </c>
      <c r="B3">
        <v>45</v>
      </c>
      <c r="C3">
        <v>40</v>
      </c>
      <c r="D3">
        <v>70</v>
      </c>
      <c r="E3" s="1">
        <f t="shared" si="0"/>
        <v>51.6666666666667</v>
      </c>
      <c r="F3">
        <v>50</v>
      </c>
      <c r="G3">
        <v>70</v>
      </c>
      <c r="H3" s="1">
        <f t="shared" si="1"/>
        <v>60</v>
      </c>
      <c r="I3">
        <v>100</v>
      </c>
      <c r="J3">
        <v>70</v>
      </c>
      <c r="K3">
        <v>65</v>
      </c>
      <c r="L3">
        <v>100</v>
      </c>
      <c r="M3">
        <v>100</v>
      </c>
      <c r="N3">
        <f t="shared" si="2"/>
        <v>87</v>
      </c>
      <c r="O3" s="1">
        <f t="shared" si="3"/>
        <v>77.2333333333333</v>
      </c>
      <c r="P3">
        <v>60</v>
      </c>
      <c r="Q3" s="1">
        <v>47.25</v>
      </c>
      <c r="R3" s="1">
        <f t="shared" si="4"/>
        <v>58.34</v>
      </c>
      <c r="S3" t="s">
        <v>19</v>
      </c>
    </row>
    <row r="4" spans="1:19">
      <c r="A4" t="s">
        <v>244</v>
      </c>
      <c r="B4">
        <v>70</v>
      </c>
      <c r="C4">
        <v>95</v>
      </c>
      <c r="D4">
        <v>90</v>
      </c>
      <c r="E4" s="1">
        <f t="shared" si="0"/>
        <v>85</v>
      </c>
      <c r="F4">
        <v>70</v>
      </c>
      <c r="G4">
        <v>90</v>
      </c>
      <c r="H4" s="1">
        <f t="shared" si="1"/>
        <v>80</v>
      </c>
      <c r="I4">
        <v>100</v>
      </c>
      <c r="J4">
        <v>75</v>
      </c>
      <c r="K4">
        <v>65</v>
      </c>
      <c r="L4">
        <v>100</v>
      </c>
      <c r="M4">
        <v>100</v>
      </c>
      <c r="N4">
        <f t="shared" si="2"/>
        <v>88</v>
      </c>
      <c r="O4" s="1">
        <f t="shared" si="3"/>
        <v>86.6</v>
      </c>
      <c r="P4">
        <v>82</v>
      </c>
      <c r="Q4" s="1">
        <v>75.25</v>
      </c>
      <c r="R4" s="1">
        <f t="shared" si="4"/>
        <v>68.36</v>
      </c>
      <c r="S4" t="s">
        <v>17</v>
      </c>
    </row>
    <row r="5" spans="1:19">
      <c r="A5" t="s">
        <v>245</v>
      </c>
      <c r="B5">
        <v>49</v>
      </c>
      <c r="C5">
        <v>0</v>
      </c>
      <c r="D5">
        <v>65</v>
      </c>
      <c r="E5" s="1">
        <f t="shared" si="0"/>
        <v>38</v>
      </c>
      <c r="F5">
        <v>60</v>
      </c>
      <c r="G5">
        <v>70</v>
      </c>
      <c r="H5" s="1">
        <f t="shared" si="1"/>
        <v>65</v>
      </c>
      <c r="I5">
        <v>100</v>
      </c>
      <c r="J5">
        <v>100</v>
      </c>
      <c r="K5">
        <v>70</v>
      </c>
      <c r="L5">
        <v>65</v>
      </c>
      <c r="M5">
        <v>100</v>
      </c>
      <c r="N5">
        <f t="shared" si="2"/>
        <v>87</v>
      </c>
      <c r="O5" s="1">
        <f t="shared" si="3"/>
        <v>75</v>
      </c>
      <c r="P5">
        <v>37</v>
      </c>
      <c r="Q5" s="1">
        <v>53.5</v>
      </c>
      <c r="R5" s="1">
        <f t="shared" si="4"/>
        <v>52.4</v>
      </c>
      <c r="S5" t="s">
        <v>19</v>
      </c>
    </row>
    <row r="6" spans="1:19">
      <c r="A6" t="s">
        <v>246</v>
      </c>
      <c r="B6">
        <v>34</v>
      </c>
      <c r="C6">
        <v>25</v>
      </c>
      <c r="D6">
        <v>45</v>
      </c>
      <c r="E6" s="1">
        <f t="shared" si="0"/>
        <v>34.6666666666667</v>
      </c>
      <c r="F6">
        <v>60</v>
      </c>
      <c r="G6">
        <v>70</v>
      </c>
      <c r="H6" s="1">
        <f t="shared" si="1"/>
        <v>65</v>
      </c>
      <c r="I6">
        <v>100</v>
      </c>
      <c r="J6">
        <v>60</v>
      </c>
      <c r="K6">
        <v>65</v>
      </c>
      <c r="L6">
        <v>100</v>
      </c>
      <c r="M6">
        <v>100</v>
      </c>
      <c r="N6">
        <f t="shared" si="2"/>
        <v>85</v>
      </c>
      <c r="O6" s="1">
        <f t="shared" si="3"/>
        <v>72.9333333333333</v>
      </c>
      <c r="P6">
        <v>24</v>
      </c>
      <c r="Q6" s="1">
        <v>43.75</v>
      </c>
      <c r="R6" s="1">
        <v>50</v>
      </c>
      <c r="S6" t="s">
        <v>19</v>
      </c>
    </row>
    <row r="7" spans="1:19">
      <c r="A7" t="s">
        <v>247</v>
      </c>
      <c r="B7">
        <v>55</v>
      </c>
      <c r="C7">
        <v>40</v>
      </c>
      <c r="D7">
        <v>75</v>
      </c>
      <c r="E7" s="1">
        <f t="shared" si="0"/>
        <v>56.6666666666667</v>
      </c>
      <c r="F7">
        <v>65</v>
      </c>
      <c r="G7">
        <v>70</v>
      </c>
      <c r="H7" s="1">
        <f t="shared" si="1"/>
        <v>67.5</v>
      </c>
      <c r="I7">
        <v>100</v>
      </c>
      <c r="J7">
        <v>70</v>
      </c>
      <c r="K7">
        <v>65</v>
      </c>
      <c r="L7">
        <v>100</v>
      </c>
      <c r="M7">
        <v>100</v>
      </c>
      <c r="N7">
        <f t="shared" si="2"/>
        <v>87</v>
      </c>
      <c r="O7" s="1">
        <f t="shared" si="3"/>
        <v>78.9833333333333</v>
      </c>
      <c r="P7">
        <v>39</v>
      </c>
      <c r="Q7" s="1">
        <v>42.25</v>
      </c>
      <c r="R7" s="1">
        <f t="shared" si="4"/>
        <v>55.19</v>
      </c>
      <c r="S7" t="s">
        <v>19</v>
      </c>
    </row>
    <row r="8" spans="1:19">
      <c r="A8" t="s">
        <v>248</v>
      </c>
      <c r="B8">
        <v>55</v>
      </c>
      <c r="C8">
        <v>45</v>
      </c>
      <c r="D8">
        <v>70</v>
      </c>
      <c r="E8" s="1">
        <f t="shared" si="0"/>
        <v>56.6666666666667</v>
      </c>
      <c r="F8">
        <v>60</v>
      </c>
      <c r="G8">
        <v>70</v>
      </c>
      <c r="H8" s="1">
        <f t="shared" si="1"/>
        <v>65</v>
      </c>
      <c r="I8">
        <v>100</v>
      </c>
      <c r="J8">
        <v>70</v>
      </c>
      <c r="K8">
        <v>65</v>
      </c>
      <c r="L8">
        <v>100</v>
      </c>
      <c r="M8">
        <v>100</v>
      </c>
      <c r="N8">
        <f t="shared" si="2"/>
        <v>87</v>
      </c>
      <c r="O8" s="1">
        <f t="shared" si="3"/>
        <v>78.7333333333333</v>
      </c>
      <c r="P8">
        <v>59</v>
      </c>
      <c r="Q8" s="1">
        <v>43.75</v>
      </c>
      <c r="R8" s="1">
        <f t="shared" si="4"/>
        <v>59.04</v>
      </c>
      <c r="S8" t="s">
        <v>19</v>
      </c>
    </row>
    <row r="9" spans="1:19">
      <c r="A9" t="s">
        <v>249</v>
      </c>
      <c r="B9">
        <v>23</v>
      </c>
      <c r="C9">
        <v>15</v>
      </c>
      <c r="D9">
        <v>60</v>
      </c>
      <c r="E9" s="1">
        <f t="shared" si="0"/>
        <v>32.6666666666667</v>
      </c>
      <c r="F9">
        <v>50</v>
      </c>
      <c r="G9">
        <v>70</v>
      </c>
      <c r="H9" s="1">
        <f t="shared" si="1"/>
        <v>60</v>
      </c>
      <c r="I9">
        <v>100</v>
      </c>
      <c r="J9">
        <v>70</v>
      </c>
      <c r="K9">
        <v>65</v>
      </c>
      <c r="L9">
        <v>100</v>
      </c>
      <c r="M9">
        <v>100</v>
      </c>
      <c r="N9">
        <f t="shared" si="2"/>
        <v>87</v>
      </c>
      <c r="O9" s="1">
        <f t="shared" si="3"/>
        <v>73.4333333333333</v>
      </c>
      <c r="P9">
        <v>29</v>
      </c>
      <c r="Q9" s="1">
        <v>34.5</v>
      </c>
      <c r="R9" s="1">
        <f t="shared" si="4"/>
        <v>49.86</v>
      </c>
      <c r="S9" t="s">
        <v>19</v>
      </c>
    </row>
    <row r="10" spans="1:19">
      <c r="A10" t="s">
        <v>250</v>
      </c>
      <c r="B10">
        <v>100</v>
      </c>
      <c r="C10">
        <v>100</v>
      </c>
      <c r="D10">
        <v>80</v>
      </c>
      <c r="E10" s="1">
        <f t="shared" si="0"/>
        <v>93.3333333333333</v>
      </c>
      <c r="F10">
        <v>80</v>
      </c>
      <c r="G10">
        <v>100</v>
      </c>
      <c r="H10" s="1">
        <f t="shared" si="1"/>
        <v>90</v>
      </c>
      <c r="I10">
        <v>100</v>
      </c>
      <c r="J10">
        <v>90</v>
      </c>
      <c r="K10">
        <v>75</v>
      </c>
      <c r="L10">
        <v>100</v>
      </c>
      <c r="M10">
        <v>100</v>
      </c>
      <c r="N10">
        <f t="shared" si="2"/>
        <v>93</v>
      </c>
      <c r="O10" s="1">
        <f t="shared" si="3"/>
        <v>92.7666666666667</v>
      </c>
      <c r="P10">
        <v>100</v>
      </c>
      <c r="Q10" s="1">
        <v>35.5</v>
      </c>
      <c r="R10" s="1">
        <f t="shared" si="4"/>
        <v>75.66</v>
      </c>
      <c r="S10" t="s">
        <v>17</v>
      </c>
    </row>
    <row r="11" spans="1:19">
      <c r="A11" t="s">
        <v>251</v>
      </c>
      <c r="B11">
        <v>89</v>
      </c>
      <c r="C11">
        <v>100</v>
      </c>
      <c r="D11">
        <v>80</v>
      </c>
      <c r="E11" s="1">
        <f t="shared" si="0"/>
        <v>89.6666666666667</v>
      </c>
      <c r="F11">
        <v>80</v>
      </c>
      <c r="G11">
        <v>90</v>
      </c>
      <c r="H11" s="1">
        <f t="shared" si="1"/>
        <v>85</v>
      </c>
      <c r="I11">
        <v>100</v>
      </c>
      <c r="J11">
        <v>70</v>
      </c>
      <c r="K11">
        <v>65</v>
      </c>
      <c r="L11">
        <v>100</v>
      </c>
      <c r="M11">
        <v>100</v>
      </c>
      <c r="N11">
        <f t="shared" si="2"/>
        <v>87</v>
      </c>
      <c r="O11" s="1">
        <f t="shared" si="3"/>
        <v>87.3333333333333</v>
      </c>
      <c r="P11">
        <v>89</v>
      </c>
      <c r="Q11" s="1">
        <v>67.75</v>
      </c>
      <c r="R11" s="1">
        <f t="shared" si="4"/>
        <v>70.2</v>
      </c>
      <c r="S11" t="s">
        <v>17</v>
      </c>
    </row>
    <row r="12" spans="1:19">
      <c r="A12" t="s">
        <v>252</v>
      </c>
      <c r="B12">
        <v>87</v>
      </c>
      <c r="C12">
        <v>90</v>
      </c>
      <c r="D12">
        <v>90</v>
      </c>
      <c r="E12" s="1">
        <f t="shared" si="0"/>
        <v>89</v>
      </c>
      <c r="F12">
        <v>60</v>
      </c>
      <c r="G12">
        <v>90</v>
      </c>
      <c r="H12" s="1">
        <f t="shared" si="1"/>
        <v>75</v>
      </c>
      <c r="I12">
        <v>100</v>
      </c>
      <c r="J12">
        <v>80</v>
      </c>
      <c r="K12">
        <v>65</v>
      </c>
      <c r="L12">
        <v>100</v>
      </c>
      <c r="M12">
        <v>100</v>
      </c>
      <c r="N12">
        <f t="shared" si="2"/>
        <v>89</v>
      </c>
      <c r="O12" s="1">
        <f t="shared" si="3"/>
        <v>87.6</v>
      </c>
      <c r="P12">
        <v>96</v>
      </c>
      <c r="Q12" s="1">
        <v>80.75</v>
      </c>
      <c r="R12" s="1">
        <f t="shared" si="4"/>
        <v>71.76</v>
      </c>
      <c r="S12" t="s">
        <v>17</v>
      </c>
    </row>
    <row r="13" spans="1:19">
      <c r="A13" t="s">
        <v>253</v>
      </c>
      <c r="B13">
        <v>40</v>
      </c>
      <c r="C13">
        <v>35</v>
      </c>
      <c r="D13">
        <v>85</v>
      </c>
      <c r="E13" s="1">
        <f t="shared" si="0"/>
        <v>53.3333333333333</v>
      </c>
      <c r="F13">
        <v>65</v>
      </c>
      <c r="G13">
        <v>70</v>
      </c>
      <c r="H13" s="1">
        <f t="shared" si="1"/>
        <v>67.5</v>
      </c>
      <c r="I13">
        <v>100</v>
      </c>
      <c r="J13">
        <v>70</v>
      </c>
      <c r="K13">
        <v>65</v>
      </c>
      <c r="L13">
        <v>100</v>
      </c>
      <c r="M13">
        <v>100</v>
      </c>
      <c r="N13">
        <f t="shared" si="2"/>
        <v>87</v>
      </c>
      <c r="O13" s="1">
        <f t="shared" si="3"/>
        <v>78.3166666666667</v>
      </c>
      <c r="P13">
        <v>58</v>
      </c>
      <c r="Q13" s="1">
        <v>0</v>
      </c>
      <c r="R13" s="1">
        <f t="shared" si="4"/>
        <v>58.59</v>
      </c>
      <c r="S13" t="s">
        <v>19</v>
      </c>
    </row>
    <row r="14" spans="1:19">
      <c r="A14" t="s">
        <v>254</v>
      </c>
      <c r="B14">
        <v>66</v>
      </c>
      <c r="C14">
        <v>80</v>
      </c>
      <c r="D14">
        <v>60</v>
      </c>
      <c r="E14" s="1">
        <f t="shared" si="0"/>
        <v>68.6666666666667</v>
      </c>
      <c r="F14">
        <v>70</v>
      </c>
      <c r="G14">
        <v>70</v>
      </c>
      <c r="H14" s="1">
        <f t="shared" si="1"/>
        <v>70</v>
      </c>
      <c r="I14">
        <v>100</v>
      </c>
      <c r="J14">
        <v>70</v>
      </c>
      <c r="K14">
        <v>65</v>
      </c>
      <c r="L14">
        <v>100</v>
      </c>
      <c r="M14">
        <v>100</v>
      </c>
      <c r="N14">
        <f t="shared" si="2"/>
        <v>87</v>
      </c>
      <c r="O14" s="1">
        <f t="shared" si="3"/>
        <v>81.6333333333333</v>
      </c>
      <c r="P14">
        <v>63</v>
      </c>
      <c r="Q14" s="1">
        <v>40.75</v>
      </c>
      <c r="R14" s="1">
        <f t="shared" si="4"/>
        <v>61.58</v>
      </c>
      <c r="S14" t="s">
        <v>17</v>
      </c>
    </row>
    <row r="15" spans="1:19">
      <c r="A15" t="s">
        <v>255</v>
      </c>
      <c r="B15">
        <v>15</v>
      </c>
      <c r="C15">
        <v>30</v>
      </c>
      <c r="D15">
        <v>70</v>
      </c>
      <c r="E15" s="1">
        <f t="shared" si="0"/>
        <v>38.3333333333333</v>
      </c>
      <c r="F15">
        <v>50</v>
      </c>
      <c r="G15">
        <v>70</v>
      </c>
      <c r="H15" s="1">
        <f t="shared" si="1"/>
        <v>60</v>
      </c>
      <c r="I15">
        <v>100</v>
      </c>
      <c r="J15">
        <v>70</v>
      </c>
      <c r="K15">
        <v>65</v>
      </c>
      <c r="L15">
        <v>100</v>
      </c>
      <c r="M15">
        <v>100</v>
      </c>
      <c r="N15">
        <f t="shared" si="2"/>
        <v>87</v>
      </c>
      <c r="O15" s="1">
        <f t="shared" si="3"/>
        <v>74.5666666666667</v>
      </c>
      <c r="P15">
        <v>23</v>
      </c>
      <c r="Q15" s="1">
        <v>54.75</v>
      </c>
      <c r="R15" s="1">
        <v>50</v>
      </c>
      <c r="S15" t="s">
        <v>19</v>
      </c>
    </row>
    <row r="16" spans="1:19">
      <c r="A16" t="s">
        <v>256</v>
      </c>
      <c r="B16">
        <v>81</v>
      </c>
      <c r="C16">
        <v>90</v>
      </c>
      <c r="D16">
        <v>75</v>
      </c>
      <c r="E16" s="1">
        <f t="shared" si="0"/>
        <v>82</v>
      </c>
      <c r="F16">
        <v>60</v>
      </c>
      <c r="G16">
        <v>90</v>
      </c>
      <c r="H16" s="1">
        <f t="shared" si="1"/>
        <v>75</v>
      </c>
      <c r="I16">
        <v>100</v>
      </c>
      <c r="J16">
        <v>70</v>
      </c>
      <c r="K16">
        <v>65</v>
      </c>
      <c r="L16">
        <v>100</v>
      </c>
      <c r="M16">
        <v>100</v>
      </c>
      <c r="N16">
        <f t="shared" si="2"/>
        <v>87</v>
      </c>
      <c r="O16" s="1">
        <f t="shared" si="3"/>
        <v>84.8</v>
      </c>
      <c r="P16">
        <v>73</v>
      </c>
      <c r="Q16" s="1">
        <v>45</v>
      </c>
      <c r="R16" s="1">
        <f t="shared" si="4"/>
        <v>65.48</v>
      </c>
      <c r="S16" t="s">
        <v>17</v>
      </c>
    </row>
    <row r="17" spans="1:19">
      <c r="A17" t="s">
        <v>257</v>
      </c>
      <c r="B17">
        <v>21</v>
      </c>
      <c r="C17">
        <v>0</v>
      </c>
      <c r="D17">
        <v>60</v>
      </c>
      <c r="E17" s="1">
        <f t="shared" si="0"/>
        <v>27</v>
      </c>
      <c r="F17">
        <v>60</v>
      </c>
      <c r="G17">
        <v>90</v>
      </c>
      <c r="H17" s="1">
        <f t="shared" si="1"/>
        <v>75</v>
      </c>
      <c r="I17">
        <v>100</v>
      </c>
      <c r="J17">
        <v>75</v>
      </c>
      <c r="K17">
        <v>65</v>
      </c>
      <c r="L17">
        <v>100</v>
      </c>
      <c r="M17">
        <v>100</v>
      </c>
      <c r="N17">
        <f t="shared" si="2"/>
        <v>88</v>
      </c>
      <c r="O17" s="1">
        <f t="shared" si="3"/>
        <v>74.5</v>
      </c>
      <c r="P17">
        <v>42</v>
      </c>
      <c r="Q17" s="1">
        <v>59.75</v>
      </c>
      <c r="R17" s="1">
        <f t="shared" si="4"/>
        <v>53.1</v>
      </c>
      <c r="S17" t="s">
        <v>19</v>
      </c>
    </row>
    <row r="18" spans="1:19">
      <c r="A18" t="s">
        <v>258</v>
      </c>
      <c r="B18">
        <v>55</v>
      </c>
      <c r="C18">
        <v>50</v>
      </c>
      <c r="D18">
        <v>70</v>
      </c>
      <c r="E18" s="1">
        <f t="shared" si="0"/>
        <v>58.3333333333333</v>
      </c>
      <c r="F18">
        <v>60</v>
      </c>
      <c r="G18">
        <v>70</v>
      </c>
      <c r="H18" s="1">
        <f t="shared" si="1"/>
        <v>65</v>
      </c>
      <c r="I18">
        <v>100</v>
      </c>
      <c r="J18">
        <v>75</v>
      </c>
      <c r="K18">
        <v>65</v>
      </c>
      <c r="L18">
        <v>100</v>
      </c>
      <c r="M18">
        <v>100</v>
      </c>
      <c r="N18">
        <f t="shared" si="2"/>
        <v>88</v>
      </c>
      <c r="O18" s="1">
        <f t="shared" si="3"/>
        <v>79.7666666666667</v>
      </c>
      <c r="P18">
        <v>64</v>
      </c>
      <c r="Q18" s="1">
        <v>62</v>
      </c>
      <c r="R18" s="1">
        <f t="shared" si="4"/>
        <v>60.66</v>
      </c>
      <c r="S18" t="s">
        <v>17</v>
      </c>
    </row>
    <row r="19" spans="1:19">
      <c r="A19" t="s">
        <v>259</v>
      </c>
      <c r="B19">
        <v>50</v>
      </c>
      <c r="C19">
        <v>10</v>
      </c>
      <c r="D19">
        <v>70</v>
      </c>
      <c r="E19" s="1">
        <f t="shared" si="0"/>
        <v>43.3333333333333</v>
      </c>
      <c r="F19">
        <v>65</v>
      </c>
      <c r="G19">
        <v>85</v>
      </c>
      <c r="H19" s="1">
        <f t="shared" si="1"/>
        <v>75</v>
      </c>
      <c r="I19">
        <v>100</v>
      </c>
      <c r="J19">
        <v>70</v>
      </c>
      <c r="K19">
        <v>65</v>
      </c>
      <c r="L19">
        <v>100</v>
      </c>
      <c r="M19">
        <v>100</v>
      </c>
      <c r="N19">
        <f t="shared" si="2"/>
        <v>87</v>
      </c>
      <c r="O19" s="1">
        <f t="shared" si="3"/>
        <v>77.0666666666667</v>
      </c>
      <c r="P19">
        <v>21</v>
      </c>
      <c r="Q19" s="1">
        <v>62.75</v>
      </c>
      <c r="R19" s="1">
        <f t="shared" si="4"/>
        <v>50.44</v>
      </c>
      <c r="S19" t="s">
        <v>19</v>
      </c>
    </row>
    <row r="20" spans="1:19">
      <c r="A20" t="s">
        <v>260</v>
      </c>
      <c r="B20">
        <v>57</v>
      </c>
      <c r="C20">
        <v>40</v>
      </c>
      <c r="D20">
        <v>70</v>
      </c>
      <c r="E20" s="1">
        <f t="shared" si="0"/>
        <v>55.6666666666667</v>
      </c>
      <c r="F20">
        <v>65</v>
      </c>
      <c r="G20">
        <v>70</v>
      </c>
      <c r="H20" s="1">
        <f t="shared" si="1"/>
        <v>67.5</v>
      </c>
      <c r="I20">
        <v>100</v>
      </c>
      <c r="J20">
        <v>70</v>
      </c>
      <c r="K20">
        <v>65</v>
      </c>
      <c r="L20">
        <v>100</v>
      </c>
      <c r="M20">
        <v>100</v>
      </c>
      <c r="N20">
        <f t="shared" si="2"/>
        <v>87</v>
      </c>
      <c r="O20" s="1">
        <f t="shared" si="3"/>
        <v>78.7833333333333</v>
      </c>
      <c r="P20">
        <v>27</v>
      </c>
      <c r="Q20" s="1">
        <v>25.25</v>
      </c>
      <c r="R20" s="1">
        <f t="shared" si="4"/>
        <v>52.67</v>
      </c>
      <c r="S20" t="s">
        <v>19</v>
      </c>
    </row>
    <row r="21" spans="1:19">
      <c r="A21" t="s">
        <v>261</v>
      </c>
      <c r="B21">
        <v>45</v>
      </c>
      <c r="C21">
        <v>30</v>
      </c>
      <c r="D21">
        <v>55</v>
      </c>
      <c r="E21" s="1">
        <f t="shared" si="0"/>
        <v>43.3333333333333</v>
      </c>
      <c r="F21">
        <v>60</v>
      </c>
      <c r="G21">
        <v>70</v>
      </c>
      <c r="H21" s="1">
        <f t="shared" si="1"/>
        <v>65</v>
      </c>
      <c r="I21">
        <v>100</v>
      </c>
      <c r="J21">
        <v>60</v>
      </c>
      <c r="K21">
        <v>65</v>
      </c>
      <c r="L21">
        <v>100</v>
      </c>
      <c r="M21">
        <v>100</v>
      </c>
      <c r="N21">
        <f t="shared" si="2"/>
        <v>85</v>
      </c>
      <c r="O21" s="1">
        <f t="shared" si="3"/>
        <v>74.6666666666667</v>
      </c>
      <c r="P21">
        <v>28</v>
      </c>
      <c r="Q21" s="1">
        <v>27.75</v>
      </c>
      <c r="R21" s="1">
        <f t="shared" si="4"/>
        <v>50.4</v>
      </c>
      <c r="S21" t="s">
        <v>19</v>
      </c>
    </row>
    <row r="22" spans="1:19">
      <c r="A22" t="s">
        <v>262</v>
      </c>
      <c r="B22">
        <v>51</v>
      </c>
      <c r="C22">
        <v>60</v>
      </c>
      <c r="D22">
        <v>90</v>
      </c>
      <c r="E22" s="1">
        <f t="shared" si="0"/>
        <v>67</v>
      </c>
      <c r="F22">
        <v>70</v>
      </c>
      <c r="G22">
        <v>70</v>
      </c>
      <c r="H22" s="1">
        <f t="shared" si="1"/>
        <v>70</v>
      </c>
      <c r="I22">
        <v>100</v>
      </c>
      <c r="J22">
        <v>80</v>
      </c>
      <c r="K22">
        <v>65</v>
      </c>
      <c r="L22">
        <v>100</v>
      </c>
      <c r="M22">
        <v>100</v>
      </c>
      <c r="N22">
        <f t="shared" si="2"/>
        <v>89</v>
      </c>
      <c r="O22" s="1">
        <f t="shared" si="3"/>
        <v>82.7</v>
      </c>
      <c r="P22">
        <v>64</v>
      </c>
      <c r="Q22" s="1">
        <v>10.75</v>
      </c>
      <c r="R22" s="1">
        <f t="shared" si="4"/>
        <v>62.42</v>
      </c>
      <c r="S22" t="s">
        <v>17</v>
      </c>
    </row>
    <row r="23" spans="1:19">
      <c r="A23" t="s">
        <v>263</v>
      </c>
      <c r="B23">
        <v>55</v>
      </c>
      <c r="C23">
        <v>25</v>
      </c>
      <c r="D23">
        <v>55</v>
      </c>
      <c r="E23" s="1">
        <f t="shared" si="0"/>
        <v>45</v>
      </c>
      <c r="F23">
        <v>70</v>
      </c>
      <c r="G23">
        <v>70</v>
      </c>
      <c r="H23" s="1">
        <f t="shared" si="1"/>
        <v>70</v>
      </c>
      <c r="I23">
        <v>100</v>
      </c>
      <c r="J23">
        <v>70</v>
      </c>
      <c r="K23">
        <v>65</v>
      </c>
      <c r="L23">
        <v>100</v>
      </c>
      <c r="M23">
        <v>100</v>
      </c>
      <c r="N23">
        <f t="shared" si="2"/>
        <v>87</v>
      </c>
      <c r="O23" s="1">
        <f t="shared" si="3"/>
        <v>76.9</v>
      </c>
      <c r="P23">
        <v>32</v>
      </c>
      <c r="Q23" s="1">
        <v>43.5</v>
      </c>
      <c r="R23" s="1">
        <f t="shared" si="4"/>
        <v>52.54</v>
      </c>
      <c r="S23" t="s">
        <v>19</v>
      </c>
    </row>
    <row r="24" spans="1:19">
      <c r="A24" t="s">
        <v>264</v>
      </c>
      <c r="B24">
        <v>70</v>
      </c>
      <c r="C24">
        <v>30</v>
      </c>
      <c r="D24">
        <v>65</v>
      </c>
      <c r="E24" s="1">
        <f t="shared" si="0"/>
        <v>55</v>
      </c>
      <c r="F24">
        <v>60</v>
      </c>
      <c r="G24">
        <v>85</v>
      </c>
      <c r="H24" s="1">
        <f t="shared" si="1"/>
        <v>72.5</v>
      </c>
      <c r="I24">
        <v>100</v>
      </c>
      <c r="J24">
        <v>60</v>
      </c>
      <c r="K24">
        <v>65</v>
      </c>
      <c r="L24">
        <v>100</v>
      </c>
      <c r="M24">
        <v>100</v>
      </c>
      <c r="N24">
        <f t="shared" si="2"/>
        <v>85</v>
      </c>
      <c r="O24" s="1">
        <f t="shared" si="3"/>
        <v>77.75</v>
      </c>
      <c r="P24">
        <v>46</v>
      </c>
      <c r="Q24" s="1">
        <v>60</v>
      </c>
      <c r="R24" s="1">
        <f t="shared" si="4"/>
        <v>55.85</v>
      </c>
      <c r="S24" t="s">
        <v>19</v>
      </c>
    </row>
    <row r="25" spans="1:19">
      <c r="A25" t="s">
        <v>265</v>
      </c>
      <c r="B25">
        <v>74</v>
      </c>
      <c r="C25">
        <v>95</v>
      </c>
      <c r="D25">
        <v>75</v>
      </c>
      <c r="E25" s="1">
        <f t="shared" si="0"/>
        <v>81.3333333333333</v>
      </c>
      <c r="F25">
        <v>60</v>
      </c>
      <c r="G25">
        <v>90</v>
      </c>
      <c r="H25" s="1">
        <f t="shared" si="1"/>
        <v>75</v>
      </c>
      <c r="I25">
        <v>100</v>
      </c>
      <c r="J25">
        <v>70</v>
      </c>
      <c r="K25">
        <v>65</v>
      </c>
      <c r="L25">
        <v>100</v>
      </c>
      <c r="M25">
        <v>100</v>
      </c>
      <c r="N25">
        <f t="shared" si="2"/>
        <v>87</v>
      </c>
      <c r="O25" s="1">
        <f t="shared" si="3"/>
        <v>84.6666666666667</v>
      </c>
      <c r="P25">
        <v>78</v>
      </c>
      <c r="Q25" s="1">
        <v>65.5</v>
      </c>
      <c r="R25" s="1">
        <f t="shared" si="4"/>
        <v>66.4</v>
      </c>
      <c r="S25" t="s">
        <v>17</v>
      </c>
    </row>
    <row r="26" spans="1:19">
      <c r="A26" t="s">
        <v>266</v>
      </c>
      <c r="B26">
        <v>53</v>
      </c>
      <c r="C26">
        <v>60</v>
      </c>
      <c r="D26">
        <v>35</v>
      </c>
      <c r="E26" s="1">
        <f t="shared" si="0"/>
        <v>49.3333333333333</v>
      </c>
      <c r="F26">
        <v>50</v>
      </c>
      <c r="G26">
        <v>70</v>
      </c>
      <c r="H26" s="1">
        <f t="shared" si="1"/>
        <v>60</v>
      </c>
      <c r="I26">
        <v>100</v>
      </c>
      <c r="J26">
        <v>85</v>
      </c>
      <c r="K26">
        <v>65</v>
      </c>
      <c r="L26">
        <v>100</v>
      </c>
      <c r="M26">
        <v>100</v>
      </c>
      <c r="N26">
        <f t="shared" si="2"/>
        <v>90</v>
      </c>
      <c r="O26" s="1">
        <f t="shared" si="3"/>
        <v>78.8666666666667</v>
      </c>
      <c r="P26">
        <v>40</v>
      </c>
      <c r="Q26" s="1">
        <v>38.5</v>
      </c>
      <c r="R26" s="1">
        <f t="shared" si="4"/>
        <v>55.32</v>
      </c>
      <c r="S26" t="s">
        <v>19</v>
      </c>
    </row>
    <row r="27" spans="1:19">
      <c r="A27" t="s">
        <v>267</v>
      </c>
      <c r="B27">
        <v>55</v>
      </c>
      <c r="C27">
        <v>50</v>
      </c>
      <c r="D27">
        <v>65</v>
      </c>
      <c r="E27" s="1">
        <f t="shared" si="0"/>
        <v>56.6666666666667</v>
      </c>
      <c r="F27">
        <v>60</v>
      </c>
      <c r="G27">
        <v>70</v>
      </c>
      <c r="H27" s="1">
        <f t="shared" si="1"/>
        <v>65</v>
      </c>
      <c r="I27">
        <v>100</v>
      </c>
      <c r="J27">
        <v>75</v>
      </c>
      <c r="K27">
        <v>65</v>
      </c>
      <c r="L27">
        <v>100</v>
      </c>
      <c r="M27">
        <v>100</v>
      </c>
      <c r="N27">
        <f t="shared" si="2"/>
        <v>88</v>
      </c>
      <c r="O27" s="1">
        <f t="shared" si="3"/>
        <v>79.4333333333333</v>
      </c>
      <c r="P27">
        <v>59</v>
      </c>
      <c r="Q27" s="1">
        <v>12.5</v>
      </c>
      <c r="R27" s="1">
        <f t="shared" si="4"/>
        <v>59.46</v>
      </c>
      <c r="S27" t="s">
        <v>19</v>
      </c>
    </row>
    <row r="28" spans="1:19">
      <c r="A28" t="s">
        <v>268</v>
      </c>
      <c r="B28">
        <v>36</v>
      </c>
      <c r="C28">
        <v>65</v>
      </c>
      <c r="D28">
        <v>70</v>
      </c>
      <c r="E28" s="1">
        <f t="shared" si="0"/>
        <v>57</v>
      </c>
      <c r="F28">
        <v>50</v>
      </c>
      <c r="G28">
        <v>70</v>
      </c>
      <c r="H28" s="1">
        <f t="shared" si="1"/>
        <v>60</v>
      </c>
      <c r="I28">
        <v>100</v>
      </c>
      <c r="J28">
        <v>70</v>
      </c>
      <c r="K28">
        <v>65</v>
      </c>
      <c r="L28">
        <v>100</v>
      </c>
      <c r="M28">
        <v>100</v>
      </c>
      <c r="N28">
        <f t="shared" si="2"/>
        <v>87</v>
      </c>
      <c r="O28" s="1">
        <f t="shared" si="3"/>
        <v>78.3</v>
      </c>
      <c r="P28">
        <v>46</v>
      </c>
      <c r="Q28" s="1">
        <v>51.5</v>
      </c>
      <c r="R28" s="1">
        <f t="shared" si="4"/>
        <v>56.18</v>
      </c>
      <c r="S28" t="s">
        <v>19</v>
      </c>
    </row>
    <row r="29" spans="1:19">
      <c r="G29" t="s">
        <v>269</v>
      </c>
    </row>
  </sheetData>
  <sortState ref="A2:R28">
    <sortCondition ref="A1"/>
  </sortState>
  <pageMargins left="0.7" right="0.7" top="0.75" bottom="0.75" header="0.3" footer="0.3"/>
  <pageSetup paperSize="9" scale="91" fitToHeight="0" orientation="landscape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A1" sqref="A1"/>
    </sheetView>
  </sheetViews>
  <sheetFormatPr defaultColWidth="9" defaultRowHeight="15"/>
  <cols>
    <col min="1" max="1" width="23.7809523809524" customWidth="1"/>
    <col min="2" max="2" width="5.33333333333333" customWidth="1"/>
    <col min="3" max="3" width="6.1047619047619" customWidth="1"/>
    <col min="4" max="4" width="5.78095238095238" customWidth="1"/>
    <col min="5" max="5" width="6.33333333333333" customWidth="1"/>
    <col min="6" max="10" width="6.1047619047619" customWidth="1"/>
    <col min="11" max="11" width="6.33333333333333" customWidth="1"/>
    <col min="12" max="12" width="5.43809523809524" customWidth="1"/>
    <col min="13" max="13" width="8" customWidth="1"/>
    <col min="14" max="14" width="8.33333333333333" customWidth="1"/>
  </cols>
  <sheetData>
    <row r="1" spans="1:16">
      <c r="A1" t="s">
        <v>0</v>
      </c>
      <c r="B1" t="s">
        <v>1</v>
      </c>
      <c r="C1" t="s">
        <v>45</v>
      </c>
      <c r="D1" t="s">
        <v>46</v>
      </c>
      <c r="E1" t="s">
        <v>49</v>
      </c>
      <c r="F1" t="s">
        <v>109</v>
      </c>
      <c r="G1" t="s">
        <v>110</v>
      </c>
      <c r="H1" t="s">
        <v>239</v>
      </c>
      <c r="I1" t="s">
        <v>240</v>
      </c>
      <c r="J1" t="s">
        <v>241</v>
      </c>
      <c r="K1" t="s">
        <v>55</v>
      </c>
      <c r="L1" t="s">
        <v>10</v>
      </c>
      <c r="M1" t="s">
        <v>57</v>
      </c>
      <c r="N1" t="s">
        <v>80</v>
      </c>
      <c r="O1" t="s">
        <v>13</v>
      </c>
      <c r="P1" t="s">
        <v>14</v>
      </c>
    </row>
    <row r="2" spans="1:16">
      <c r="A2" t="s">
        <v>270</v>
      </c>
      <c r="B2">
        <v>87</v>
      </c>
      <c r="C2">
        <f>B2</f>
        <v>87</v>
      </c>
      <c r="D2">
        <v>90</v>
      </c>
      <c r="E2">
        <f>D2</f>
        <v>90</v>
      </c>
      <c r="F2">
        <v>65</v>
      </c>
      <c r="G2">
        <v>65</v>
      </c>
      <c r="H2">
        <v>85</v>
      </c>
      <c r="I2">
        <v>80</v>
      </c>
      <c r="J2">
        <v>64</v>
      </c>
      <c r="K2" s="1">
        <f>((F2+G2+H2+I2+J2)/5)</f>
        <v>71.8</v>
      </c>
      <c r="L2" s="1">
        <f>(C2*0.2)+(E2*0.1)+(K2*0.7)</f>
        <v>76.66</v>
      </c>
      <c r="M2">
        <v>45</v>
      </c>
      <c r="N2">
        <v>33</v>
      </c>
      <c r="O2" s="1">
        <f>((L2*0.6)+(M2*0.2)+(N2*0.2))</f>
        <v>61.596</v>
      </c>
      <c r="P2" t="s">
        <v>17</v>
      </c>
    </row>
    <row r="3" spans="1:16">
      <c r="A3" t="s">
        <v>271</v>
      </c>
      <c r="B3">
        <v>87</v>
      </c>
      <c r="C3">
        <f t="shared" ref="C3:C20" si="0">B3</f>
        <v>87</v>
      </c>
      <c r="D3">
        <v>90</v>
      </c>
      <c r="E3">
        <f t="shared" ref="E3:E20" si="1">D3</f>
        <v>90</v>
      </c>
      <c r="F3">
        <v>65</v>
      </c>
      <c r="G3">
        <v>65</v>
      </c>
      <c r="H3">
        <v>70</v>
      </c>
      <c r="I3">
        <v>78</v>
      </c>
      <c r="J3">
        <v>65</v>
      </c>
      <c r="K3" s="1">
        <f t="shared" ref="K3:K20" si="2">((F3+G3+H3+I3+J3)/5)</f>
        <v>68.6</v>
      </c>
      <c r="L3" s="1">
        <f t="shared" ref="L3:L20" si="3">(C3*0.2)+(E3*0.1)+(K3*0.7)</f>
        <v>74.42</v>
      </c>
      <c r="M3">
        <v>75</v>
      </c>
      <c r="N3">
        <v>64</v>
      </c>
      <c r="O3" s="1">
        <f t="shared" ref="O3:O20" si="4">((L3*0.6)+(M3*0.2)+(N3*0.2))</f>
        <v>72.452</v>
      </c>
      <c r="P3" t="s">
        <v>17</v>
      </c>
    </row>
    <row r="4" spans="1:16">
      <c r="A4" t="s">
        <v>272</v>
      </c>
      <c r="B4">
        <v>80</v>
      </c>
      <c r="C4">
        <f t="shared" si="0"/>
        <v>80</v>
      </c>
      <c r="D4">
        <v>90</v>
      </c>
      <c r="E4">
        <f t="shared" si="1"/>
        <v>90</v>
      </c>
      <c r="F4">
        <v>65</v>
      </c>
      <c r="G4">
        <v>85</v>
      </c>
      <c r="H4">
        <v>80</v>
      </c>
      <c r="I4">
        <v>70</v>
      </c>
      <c r="J4">
        <v>70</v>
      </c>
      <c r="K4" s="1">
        <f t="shared" si="2"/>
        <v>74</v>
      </c>
      <c r="L4" s="1">
        <f t="shared" si="3"/>
        <v>76.8</v>
      </c>
      <c r="M4">
        <v>50</v>
      </c>
      <c r="N4">
        <v>48</v>
      </c>
      <c r="O4" s="1">
        <f t="shared" si="4"/>
        <v>65.68</v>
      </c>
      <c r="P4" t="s">
        <v>17</v>
      </c>
    </row>
    <row r="5" spans="1:16">
      <c r="A5" t="s">
        <v>273</v>
      </c>
      <c r="B5">
        <v>90</v>
      </c>
      <c r="C5">
        <f t="shared" si="0"/>
        <v>90</v>
      </c>
      <c r="D5">
        <v>90</v>
      </c>
      <c r="E5">
        <f t="shared" si="1"/>
        <v>90</v>
      </c>
      <c r="F5">
        <v>61</v>
      </c>
      <c r="G5">
        <v>65</v>
      </c>
      <c r="H5">
        <v>91</v>
      </c>
      <c r="I5">
        <v>75</v>
      </c>
      <c r="J5">
        <v>68</v>
      </c>
      <c r="K5" s="1">
        <f t="shared" si="2"/>
        <v>72</v>
      </c>
      <c r="L5" s="1">
        <f t="shared" si="3"/>
        <v>77.4</v>
      </c>
      <c r="M5">
        <v>67</v>
      </c>
      <c r="N5">
        <v>42</v>
      </c>
      <c r="O5" s="1">
        <f t="shared" si="4"/>
        <v>68.24</v>
      </c>
      <c r="P5" t="s">
        <v>17</v>
      </c>
    </row>
    <row r="6" spans="1:16">
      <c r="A6" t="s">
        <v>274</v>
      </c>
      <c r="B6">
        <v>50</v>
      </c>
      <c r="C6">
        <f t="shared" si="0"/>
        <v>50</v>
      </c>
      <c r="D6">
        <v>90</v>
      </c>
      <c r="E6">
        <f t="shared" si="1"/>
        <v>90</v>
      </c>
      <c r="F6">
        <v>66</v>
      </c>
      <c r="G6">
        <v>65</v>
      </c>
      <c r="H6">
        <v>70</v>
      </c>
      <c r="I6">
        <v>75</v>
      </c>
      <c r="J6">
        <v>60</v>
      </c>
      <c r="K6" s="1">
        <f t="shared" si="2"/>
        <v>67.2</v>
      </c>
      <c r="L6" s="1">
        <f t="shared" si="3"/>
        <v>66.04</v>
      </c>
      <c r="M6">
        <v>24</v>
      </c>
      <c r="N6">
        <v>7</v>
      </c>
      <c r="O6" s="1">
        <v>50</v>
      </c>
      <c r="P6" t="s">
        <v>19</v>
      </c>
    </row>
    <row r="7" spans="1:16">
      <c r="A7" t="s">
        <v>275</v>
      </c>
      <c r="B7">
        <v>97</v>
      </c>
      <c r="C7">
        <f t="shared" si="0"/>
        <v>97</v>
      </c>
      <c r="D7">
        <v>90</v>
      </c>
      <c r="E7">
        <f t="shared" si="1"/>
        <v>90</v>
      </c>
      <c r="F7">
        <v>61</v>
      </c>
      <c r="G7">
        <v>60</v>
      </c>
      <c r="H7">
        <v>80</v>
      </c>
      <c r="I7">
        <v>83</v>
      </c>
      <c r="J7">
        <v>62</v>
      </c>
      <c r="K7" s="1">
        <f t="shared" si="2"/>
        <v>69.2</v>
      </c>
      <c r="L7" s="1">
        <f t="shared" si="3"/>
        <v>76.84</v>
      </c>
      <c r="M7">
        <v>85</v>
      </c>
      <c r="N7">
        <v>64</v>
      </c>
      <c r="O7" s="1">
        <f t="shared" si="4"/>
        <v>75.904</v>
      </c>
      <c r="P7" t="s">
        <v>17</v>
      </c>
    </row>
    <row r="8" spans="1:16">
      <c r="A8" t="s">
        <v>276</v>
      </c>
      <c r="B8">
        <v>87</v>
      </c>
      <c r="C8">
        <f t="shared" si="0"/>
        <v>87</v>
      </c>
      <c r="D8">
        <v>90</v>
      </c>
      <c r="E8">
        <f t="shared" si="1"/>
        <v>90</v>
      </c>
      <c r="F8">
        <v>61</v>
      </c>
      <c r="G8">
        <v>60</v>
      </c>
      <c r="H8">
        <v>80</v>
      </c>
      <c r="I8">
        <v>70</v>
      </c>
      <c r="J8">
        <v>54</v>
      </c>
      <c r="K8" s="1">
        <f t="shared" si="2"/>
        <v>65</v>
      </c>
      <c r="L8" s="1">
        <f t="shared" si="3"/>
        <v>71.9</v>
      </c>
      <c r="M8">
        <v>54</v>
      </c>
      <c r="N8">
        <v>31</v>
      </c>
      <c r="O8" s="1">
        <f t="shared" si="4"/>
        <v>60.14</v>
      </c>
      <c r="P8" t="s">
        <v>17</v>
      </c>
    </row>
    <row r="9" spans="1:16">
      <c r="A9" t="s">
        <v>277</v>
      </c>
      <c r="B9">
        <v>100</v>
      </c>
      <c r="C9">
        <f t="shared" si="0"/>
        <v>100</v>
      </c>
      <c r="D9">
        <v>90</v>
      </c>
      <c r="E9">
        <f t="shared" si="1"/>
        <v>90</v>
      </c>
      <c r="F9">
        <v>65</v>
      </c>
      <c r="G9">
        <v>65</v>
      </c>
      <c r="H9">
        <v>85</v>
      </c>
      <c r="I9">
        <v>80</v>
      </c>
      <c r="J9">
        <v>70</v>
      </c>
      <c r="K9" s="1">
        <f t="shared" si="2"/>
        <v>73</v>
      </c>
      <c r="L9" s="1">
        <f t="shared" si="3"/>
        <v>80.1</v>
      </c>
      <c r="M9">
        <v>79</v>
      </c>
      <c r="N9">
        <v>67</v>
      </c>
      <c r="O9" s="1">
        <f t="shared" si="4"/>
        <v>77.26</v>
      </c>
      <c r="P9" t="s">
        <v>17</v>
      </c>
    </row>
    <row r="10" spans="1:16">
      <c r="A10" t="s">
        <v>278</v>
      </c>
      <c r="B10">
        <v>100</v>
      </c>
      <c r="C10">
        <f t="shared" si="0"/>
        <v>100</v>
      </c>
      <c r="D10">
        <v>90</v>
      </c>
      <c r="E10">
        <f t="shared" si="1"/>
        <v>90</v>
      </c>
      <c r="F10">
        <v>61</v>
      </c>
      <c r="G10">
        <v>65</v>
      </c>
      <c r="H10">
        <v>85</v>
      </c>
      <c r="I10">
        <v>80</v>
      </c>
      <c r="J10">
        <v>54</v>
      </c>
      <c r="K10" s="1">
        <f t="shared" si="2"/>
        <v>69</v>
      </c>
      <c r="L10" s="1">
        <f t="shared" si="3"/>
        <v>77.3</v>
      </c>
      <c r="M10">
        <v>74</v>
      </c>
      <c r="N10">
        <v>47</v>
      </c>
      <c r="O10" s="1">
        <f t="shared" si="4"/>
        <v>70.58</v>
      </c>
      <c r="P10" t="s">
        <v>17</v>
      </c>
    </row>
    <row r="11" spans="1:16">
      <c r="A11" t="s">
        <v>279</v>
      </c>
      <c r="B11">
        <v>88</v>
      </c>
      <c r="C11">
        <f t="shared" si="0"/>
        <v>88</v>
      </c>
      <c r="D11">
        <v>90</v>
      </c>
      <c r="E11">
        <f t="shared" si="1"/>
        <v>90</v>
      </c>
      <c r="F11">
        <v>58</v>
      </c>
      <c r="G11">
        <v>60</v>
      </c>
      <c r="H11">
        <v>70</v>
      </c>
      <c r="I11">
        <v>75</v>
      </c>
      <c r="J11">
        <v>65</v>
      </c>
      <c r="K11" s="1">
        <f t="shared" si="2"/>
        <v>65.6</v>
      </c>
      <c r="L11" s="1">
        <f t="shared" si="3"/>
        <v>72.52</v>
      </c>
      <c r="M11">
        <v>80</v>
      </c>
      <c r="N11">
        <v>34</v>
      </c>
      <c r="O11" s="1">
        <f t="shared" si="4"/>
        <v>66.312</v>
      </c>
      <c r="P11" t="s">
        <v>17</v>
      </c>
    </row>
    <row r="12" spans="1:16">
      <c r="A12" t="s">
        <v>280</v>
      </c>
      <c r="B12">
        <v>90</v>
      </c>
      <c r="C12">
        <f t="shared" si="0"/>
        <v>90</v>
      </c>
      <c r="D12">
        <v>90</v>
      </c>
      <c r="E12">
        <f t="shared" si="1"/>
        <v>90</v>
      </c>
      <c r="F12">
        <v>65</v>
      </c>
      <c r="G12">
        <v>65</v>
      </c>
      <c r="H12">
        <v>85</v>
      </c>
      <c r="I12">
        <v>80</v>
      </c>
      <c r="J12">
        <v>60</v>
      </c>
      <c r="K12" s="1">
        <f t="shared" si="2"/>
        <v>71</v>
      </c>
      <c r="L12" s="1">
        <f t="shared" si="3"/>
        <v>76.7</v>
      </c>
      <c r="M12">
        <v>69</v>
      </c>
      <c r="N12">
        <v>89</v>
      </c>
      <c r="O12" s="1">
        <f t="shared" si="4"/>
        <v>77.62</v>
      </c>
      <c r="P12" t="s">
        <v>17</v>
      </c>
    </row>
    <row r="13" spans="1:16">
      <c r="A13" t="s">
        <v>281</v>
      </c>
      <c r="B13">
        <v>90</v>
      </c>
      <c r="C13">
        <f t="shared" si="0"/>
        <v>90</v>
      </c>
      <c r="D13">
        <v>90</v>
      </c>
      <c r="E13">
        <f t="shared" si="1"/>
        <v>90</v>
      </c>
      <c r="F13">
        <v>63</v>
      </c>
      <c r="G13">
        <v>61</v>
      </c>
      <c r="H13">
        <v>70</v>
      </c>
      <c r="I13">
        <v>83</v>
      </c>
      <c r="J13">
        <v>63</v>
      </c>
      <c r="K13" s="1">
        <f t="shared" si="2"/>
        <v>68</v>
      </c>
      <c r="L13" s="1">
        <f t="shared" si="3"/>
        <v>74.6</v>
      </c>
      <c r="M13">
        <v>69</v>
      </c>
      <c r="N13">
        <v>42</v>
      </c>
      <c r="O13" s="1">
        <f t="shared" si="4"/>
        <v>66.96</v>
      </c>
      <c r="P13" t="s">
        <v>17</v>
      </c>
    </row>
    <row r="14" spans="1:16">
      <c r="A14" t="s">
        <v>282</v>
      </c>
      <c r="B14">
        <v>83</v>
      </c>
      <c r="C14">
        <f t="shared" si="0"/>
        <v>83</v>
      </c>
      <c r="D14">
        <v>90</v>
      </c>
      <c r="E14">
        <f t="shared" si="1"/>
        <v>90</v>
      </c>
      <c r="F14">
        <v>61</v>
      </c>
      <c r="G14">
        <v>65</v>
      </c>
      <c r="H14">
        <v>85</v>
      </c>
      <c r="I14">
        <v>80</v>
      </c>
      <c r="J14">
        <v>64</v>
      </c>
      <c r="K14" s="1">
        <f t="shared" si="2"/>
        <v>71</v>
      </c>
      <c r="L14" s="1">
        <f t="shared" si="3"/>
        <v>75.3</v>
      </c>
      <c r="M14">
        <v>69</v>
      </c>
      <c r="N14">
        <v>52</v>
      </c>
      <c r="O14" s="1">
        <f t="shared" si="4"/>
        <v>69.38</v>
      </c>
      <c r="P14" t="s">
        <v>17</v>
      </c>
    </row>
    <row r="15" spans="1:16">
      <c r="A15" t="s">
        <v>283</v>
      </c>
      <c r="B15">
        <v>100</v>
      </c>
      <c r="C15">
        <f t="shared" si="0"/>
        <v>100</v>
      </c>
      <c r="D15">
        <v>90</v>
      </c>
      <c r="E15">
        <f t="shared" si="1"/>
        <v>90</v>
      </c>
      <c r="F15">
        <v>61</v>
      </c>
      <c r="G15">
        <v>60</v>
      </c>
      <c r="H15">
        <v>88</v>
      </c>
      <c r="I15">
        <v>70</v>
      </c>
      <c r="J15">
        <v>68</v>
      </c>
      <c r="K15" s="1">
        <f t="shared" si="2"/>
        <v>69.4</v>
      </c>
      <c r="L15" s="1">
        <f t="shared" si="3"/>
        <v>77.58</v>
      </c>
      <c r="M15">
        <v>87</v>
      </c>
      <c r="N15">
        <v>71</v>
      </c>
      <c r="O15" s="1">
        <f t="shared" si="4"/>
        <v>78.148</v>
      </c>
      <c r="P15" t="s">
        <v>17</v>
      </c>
    </row>
    <row r="16" spans="1:16">
      <c r="A16" t="s">
        <v>284</v>
      </c>
      <c r="B16">
        <v>93</v>
      </c>
      <c r="C16">
        <f t="shared" si="0"/>
        <v>93</v>
      </c>
      <c r="D16">
        <v>90</v>
      </c>
      <c r="E16">
        <f t="shared" si="1"/>
        <v>90</v>
      </c>
      <c r="F16">
        <v>66</v>
      </c>
      <c r="G16">
        <v>65</v>
      </c>
      <c r="H16">
        <v>91</v>
      </c>
      <c r="I16">
        <v>75</v>
      </c>
      <c r="J16">
        <v>63</v>
      </c>
      <c r="K16" s="1">
        <f t="shared" si="2"/>
        <v>72</v>
      </c>
      <c r="L16" s="1">
        <f t="shared" si="3"/>
        <v>78</v>
      </c>
      <c r="M16">
        <v>77</v>
      </c>
      <c r="N16">
        <v>41</v>
      </c>
      <c r="O16" s="1">
        <f t="shared" si="4"/>
        <v>70.4</v>
      </c>
      <c r="P16" t="s">
        <v>17</v>
      </c>
    </row>
    <row r="17" spans="1:16">
      <c r="A17" t="s">
        <v>285</v>
      </c>
      <c r="B17">
        <v>90</v>
      </c>
      <c r="C17">
        <f t="shared" si="0"/>
        <v>90</v>
      </c>
      <c r="D17">
        <v>90</v>
      </c>
      <c r="E17">
        <f t="shared" si="1"/>
        <v>90</v>
      </c>
      <c r="F17">
        <v>66</v>
      </c>
      <c r="G17">
        <v>65</v>
      </c>
      <c r="H17">
        <v>91</v>
      </c>
      <c r="I17">
        <v>75</v>
      </c>
      <c r="J17">
        <v>61</v>
      </c>
      <c r="K17" s="1">
        <f t="shared" si="2"/>
        <v>71.6</v>
      </c>
      <c r="L17" s="1">
        <f t="shared" si="3"/>
        <v>77.12</v>
      </c>
      <c r="M17">
        <v>68</v>
      </c>
      <c r="N17">
        <v>30</v>
      </c>
      <c r="O17" s="1">
        <f t="shared" si="4"/>
        <v>65.872</v>
      </c>
      <c r="P17" t="s">
        <v>17</v>
      </c>
    </row>
    <row r="18" spans="1:16">
      <c r="A18" t="s">
        <v>286</v>
      </c>
      <c r="B18">
        <v>100</v>
      </c>
      <c r="C18">
        <f t="shared" si="0"/>
        <v>100</v>
      </c>
      <c r="D18">
        <v>90</v>
      </c>
      <c r="E18">
        <f t="shared" si="1"/>
        <v>90</v>
      </c>
      <c r="F18">
        <v>61</v>
      </c>
      <c r="G18">
        <v>60</v>
      </c>
      <c r="H18">
        <v>88</v>
      </c>
      <c r="I18">
        <v>75</v>
      </c>
      <c r="J18">
        <v>59</v>
      </c>
      <c r="K18" s="1">
        <f t="shared" si="2"/>
        <v>68.6</v>
      </c>
      <c r="L18" s="1">
        <f t="shared" si="3"/>
        <v>77.02</v>
      </c>
      <c r="M18">
        <v>76</v>
      </c>
      <c r="N18">
        <v>57</v>
      </c>
      <c r="O18" s="1">
        <f t="shared" si="4"/>
        <v>72.812</v>
      </c>
      <c r="P18" t="s">
        <v>17</v>
      </c>
    </row>
    <row r="19" spans="1:16">
      <c r="A19" t="s">
        <v>287</v>
      </c>
      <c r="B19">
        <v>80</v>
      </c>
      <c r="C19">
        <f t="shared" si="0"/>
        <v>80</v>
      </c>
      <c r="D19">
        <v>90</v>
      </c>
      <c r="E19">
        <f t="shared" si="1"/>
        <v>90</v>
      </c>
      <c r="F19">
        <v>66</v>
      </c>
      <c r="G19">
        <v>65</v>
      </c>
      <c r="H19">
        <v>70</v>
      </c>
      <c r="I19">
        <v>75</v>
      </c>
      <c r="J19">
        <v>66</v>
      </c>
      <c r="K19" s="1">
        <f t="shared" si="2"/>
        <v>68.4</v>
      </c>
      <c r="L19" s="1">
        <f t="shared" si="3"/>
        <v>72.88</v>
      </c>
      <c r="M19">
        <v>59</v>
      </c>
      <c r="N19">
        <v>54</v>
      </c>
      <c r="O19" s="1">
        <f t="shared" si="4"/>
        <v>66.328</v>
      </c>
      <c r="P19" t="s">
        <v>17</v>
      </c>
    </row>
    <row r="20" spans="1:16">
      <c r="A20" t="s">
        <v>288</v>
      </c>
      <c r="B20">
        <v>80</v>
      </c>
      <c r="C20">
        <f t="shared" si="0"/>
        <v>80</v>
      </c>
      <c r="D20">
        <v>90</v>
      </c>
      <c r="E20">
        <f t="shared" si="1"/>
        <v>90</v>
      </c>
      <c r="F20">
        <v>61</v>
      </c>
      <c r="G20">
        <v>65</v>
      </c>
      <c r="H20">
        <v>85</v>
      </c>
      <c r="I20">
        <v>80</v>
      </c>
      <c r="J20">
        <v>67</v>
      </c>
      <c r="K20" s="1">
        <f t="shared" si="2"/>
        <v>71.6</v>
      </c>
      <c r="L20" s="1">
        <f t="shared" si="3"/>
        <v>75.12</v>
      </c>
      <c r="M20">
        <v>73</v>
      </c>
      <c r="N20">
        <v>44</v>
      </c>
      <c r="O20" s="1">
        <f t="shared" si="4"/>
        <v>68.472</v>
      </c>
      <c r="P20" t="s">
        <v>17</v>
      </c>
    </row>
    <row r="22" spans="1:16">
      <c r="G22" t="s">
        <v>289</v>
      </c>
    </row>
  </sheetData>
  <pageMargins left="0.7" right="0.7" top="0.75" bottom="0.75" header="0.3" footer="0.3"/>
  <pageSetup paperSize="9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Motor</vt:lpstr>
      <vt:lpstr>PBSP</vt:lpstr>
      <vt:lpstr>Carpentry</vt:lpstr>
      <vt:lpstr>Electrical</vt:lpstr>
      <vt:lpstr>Auto Electrical</vt:lpstr>
      <vt:lpstr>Building</vt:lpstr>
      <vt:lpstr>Welding</vt:lpstr>
      <vt:lpstr>Agriculture</vt:lpstr>
      <vt:lpstr>Sewing</vt:lpstr>
      <vt:lpstr>Plumbing</vt:lpstr>
      <vt:lpstr>Upholstery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Phumlani Nxumalo</cp:lastModifiedBy>
  <dcterms:created xsi:type="dcterms:W3CDTF">2026-06-09T14:32:00Z</dcterms:created>
  <cp:lastPrinted>2026-06-12T15:51:00Z</cp:lastPrinted>
  <dcterms:modified xsi:type="dcterms:W3CDTF">2026-09-30T19:18:50Z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604F44F59C7A427E8CBC7DFD44B09D3D_12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